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9.xml" ContentType="application/vnd.openxmlformats-officedocument.drawing+xml"/>
  <Override PartName="/xl/comments1.xml" ContentType="application/vnd.openxmlformats-officedocument.spreadsheetml.comments+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0.xml" ContentType="application/vnd.openxmlformats-officedocument.drawingml.chartshapes+xml"/>
  <Override PartName="/xl/drawings/drawing11.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C328CED1-8A24-AD48-9943-0AC583105A4C}" xr6:coauthVersionLast="47" xr6:coauthVersionMax="47" xr10:uidLastSave="{00000000-0000-0000-0000-000000000000}"/>
  <bookViews>
    <workbookView xWindow="0" yWindow="660" windowWidth="30240" windowHeight="17880" activeTab="21"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20_Usage Overview" sheetId="5" r:id="rId23"/>
    <sheet name="P21_Usage by Class" sheetId="6" r:id="rId24"/>
    <sheet name="P22_Usage by Class by Ben" sheetId="7" r:id="rId25"/>
    <sheet name="工作表1" sheetId="56" state="hidden" r:id="rId26"/>
    <sheet name="工作表2" sheetId="57" state="hidden" r:id="rId27"/>
    <sheet name="P23_Usage_HospByBnf" sheetId="8" r:id="rId28"/>
    <sheet name="P24_Usage_ClinicByBnf" sheetId="9" r:id="rId29"/>
    <sheet name="P25_UsageByplanBynetworkByben" sheetId="10" r:id="rId30"/>
    <sheet name="P26_Usage_Clinical by Network" sheetId="21" r:id="rId31"/>
    <sheet name="P16_LR by Benefits" sheetId="76" r:id="rId32"/>
    <sheet name="P17_ClaimPattern" sheetId="80" r:id="rId33"/>
    <sheet name="P.18_TopHospDiag" sheetId="78" r:id="rId34"/>
    <sheet name="P.19_TopClinDiag" sheetId="79" r:id="rId35"/>
  </sheets>
  <externalReferences>
    <externalReference r:id="rId36"/>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31">#REF!</definedName>
    <definedName name="CompanyName">#REF!</definedName>
    <definedName name="CompanyName2" localSheetId="31">#REF!</definedName>
    <definedName name="CompanyName2">#REF!</definedName>
    <definedName name="CompanyName3" localSheetId="31">#REF!</definedName>
    <definedName name="CompanyName3">#REF!</definedName>
    <definedName name="CompanyName4" localSheetId="31">#REF!</definedName>
    <definedName name="CompanyName4">#REF!</definedName>
    <definedName name="CompanyName5" localSheetId="31">#REF!</definedName>
    <definedName name="CompanyName5">#REF!</definedName>
    <definedName name="ContractNo" localSheetId="31">#REF!</definedName>
    <definedName name="ContractNo">#REF!</definedName>
    <definedName name="Dep_Ratio" localSheetId="31">#REF!</definedName>
    <definedName name="Dep_Ratio">Parameter!$F$6</definedName>
    <definedName name="Employee">#REF!</definedName>
    <definedName name="ExtInsurer">#REF!</definedName>
    <definedName name="IBNR" localSheetId="31">#REF!</definedName>
    <definedName name="IBNR">#REF!</definedName>
    <definedName name="Intercept" localSheetId="31">#REF!</definedName>
    <definedName name="Intercept">Parameter!$F$5</definedName>
    <definedName name="LastYr" localSheetId="31">#REF!</definedName>
    <definedName name="LastYr">#REF!</definedName>
    <definedName name="LatestYr" localSheetId="31">#REF!</definedName>
    <definedName name="LatestYr">#REF!</definedName>
    <definedName name="LevyRate">#REF!</definedName>
    <definedName name="MedLevycap">#REF!</definedName>
    <definedName name="Plan_No" localSheetId="31">#REF!</definedName>
    <definedName name="Plan_No">Control!$G$9:$G$1007</definedName>
    <definedName name="PolicyNum">#REF!</definedName>
    <definedName name="Prem_EE" localSheetId="31">#REF!</definedName>
    <definedName name="Prem_EE">Parameter!$F$2</definedName>
    <definedName name="PrEndDate">#REF!</definedName>
    <definedName name="PrStartDate">#REF!</definedName>
    <definedName name="RptDate">#REF!</definedName>
    <definedName name="RptYr">#REF!</definedName>
    <definedName name="Selected_limit" localSheetId="31">#REF!</definedName>
    <definedName name="Selected_limit">Parameter!$E$11:$E$18</definedName>
    <definedName name="Selected_Weighting" localSheetId="31">#REF!</definedName>
    <definedName name="Selected_Weighting">Parameter!$G$11:$G$18</definedName>
    <definedName name="Slope" localSheetId="31">#REF!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76" l="1"/>
  <c r="A14" i="76"/>
  <c r="A12" i="76"/>
  <c r="N5" i="8"/>
  <c r="L5" i="8"/>
  <c r="D5" i="8"/>
  <c r="B5" i="8"/>
  <c r="S14" i="21"/>
  <c r="S13" i="21"/>
  <c r="S12" i="21"/>
  <c r="S11" i="21"/>
  <c r="S10" i="21"/>
  <c r="S9" i="21"/>
  <c r="S8" i="21"/>
  <c r="R14" i="21"/>
  <c r="R13" i="21"/>
  <c r="R12" i="21"/>
  <c r="R11" i="21"/>
  <c r="R10" i="21"/>
  <c r="R9" i="21"/>
  <c r="R8" i="21"/>
  <c r="E53" i="80"/>
  <c r="E41" i="80"/>
  <c r="B53" i="80"/>
  <c r="B41" i="80"/>
  <c r="G62" i="80"/>
  <c r="F62" i="80"/>
  <c r="E62" i="80"/>
  <c r="G61" i="80"/>
  <c r="F61" i="80"/>
  <c r="E61" i="80"/>
  <c r="G60" i="80"/>
  <c r="F60" i="80"/>
  <c r="E60" i="80"/>
  <c r="G59" i="80"/>
  <c r="F59" i="80"/>
  <c r="E59" i="80"/>
  <c r="G58" i="80"/>
  <c r="F58" i="80"/>
  <c r="E58" i="80"/>
  <c r="G57" i="80"/>
  <c r="F57" i="80"/>
  <c r="E57" i="80"/>
  <c r="G55" i="80"/>
  <c r="F55" i="80"/>
  <c r="E55" i="80"/>
  <c r="D62" i="80"/>
  <c r="C62" i="80"/>
  <c r="B62" i="80"/>
  <c r="D61" i="80"/>
  <c r="C61" i="80"/>
  <c r="B61" i="80"/>
  <c r="D60" i="80"/>
  <c r="C60" i="80"/>
  <c r="B60" i="80"/>
  <c r="D59" i="80"/>
  <c r="C59" i="80"/>
  <c r="B59" i="80"/>
  <c r="D58" i="80"/>
  <c r="C58" i="80"/>
  <c r="B58" i="80"/>
  <c r="D57" i="80"/>
  <c r="C57" i="80"/>
  <c r="B57" i="80"/>
  <c r="D55" i="80"/>
  <c r="C55" i="80"/>
  <c r="B55" i="80"/>
  <c r="D32" i="8"/>
  <c r="D34" i="8"/>
  <c r="A6" i="80"/>
  <c r="L8" i="76"/>
  <c r="K8" i="76"/>
  <c r="P7" i="76"/>
  <c r="O7" i="76"/>
  <c r="P6" i="76"/>
  <c r="O6" i="76"/>
  <c r="P5" i="76"/>
  <c r="O5"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AK5" i="8"/>
  <c r="AI5" i="8"/>
  <c r="AA5" i="8"/>
  <c r="Y5" i="8"/>
  <c r="M32" i="8"/>
  <c r="M34" i="8" s="1"/>
  <c r="L32" i="8"/>
  <c r="L34" i="8" s="1"/>
  <c r="C56" i="5" l="1"/>
  <c r="D56" i="5" s="1"/>
  <c r="H56" i="5"/>
  <c r="G46" i="5"/>
  <c r="G48" i="5" s="1"/>
  <c r="C47" i="5"/>
  <c r="C48" i="5" s="1"/>
  <c r="N32"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H76" i="7"/>
  <c r="F76" i="7"/>
  <c r="H12" i="7"/>
  <c r="F12" i="7"/>
  <c r="E76" i="7"/>
  <c r="C76" i="7"/>
  <c r="E12" i="7"/>
  <c r="C12" i="7"/>
  <c r="H6" i="6"/>
  <c r="F6" i="6"/>
  <c r="E6" i="6"/>
  <c r="C6" i="6"/>
  <c r="D9" i="5"/>
  <c r="B9" i="5"/>
  <c r="H25" i="5"/>
  <c r="H14" i="5"/>
  <c r="H9" i="5"/>
  <c r="B32" i="8"/>
  <c r="B34" i="8" s="1"/>
  <c r="C32" i="8"/>
  <c r="C34" i="8" l="1"/>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<sst xmlns="http://schemas.openxmlformats.org/spreadsheetml/2006/main" count="4302" uniqueCount="2015">
  <si>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</si>
  <si>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</si>
  <si>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</si>
  <si>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</si>
  <si>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</si>
  <si>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</si>
  <si>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</si>
  <si>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</si>
  <si>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</si>
  <si>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</si>
  <si>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</si>
  <si>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</si>
  <si>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</si>
  <si>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</si>
  <si>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</si>
  <si>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</si>
  <si>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</si>
  <si>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</si>
  <si>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</si>
  <si>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</si>
  <si>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</si>
  <si>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</si>
  <si>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</si>
  <si>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</si>
  <si>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</si>
  <si>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</si>
  <si>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</si>
  <si>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</si>
  <si>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</si>
  <si>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</si>
  <si>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</si>
  <si>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</si>
  <si>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</si>
  <si>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</si>
  <si>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</si>
  <si>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</si>
  <si>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</si>
  <si>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</si>
  <si>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</si>
  <si>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</si>
  <si>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</si>
  <si>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</si>
  <si>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</si>
  <si>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</si>
  <si>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</si>
  <si>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</si>
  <si>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</si>
  <si>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</si>
  <si>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</si>
  <si>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</si>
  <si>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</si>
  <si>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</si>
  <si>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</si>
  <si>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</si>
  <si>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</si>
  <si>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</si>
  <si>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</si>
  <si>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</si>
  <si>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</si>
  <si>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</si>
  <si>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</si>
  <si>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</si>
  <si>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</si>
  <si>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</si>
  <si>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</si>
  <si>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</si>
  <si>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</si>
  <si>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</si>
  <si>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</si>
  <si>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</si>
  <si>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</si>
  <si>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</si>
  <si>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</si>
  <si>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</si>
  <si>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</si>
  <si>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</si>
  <si>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</si>
  <si>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</si>
  <si>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</si>
  <si>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</si>
  <si>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</si>
  <si>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</si>
  <si>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</si>
  <si>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</si>
  <si>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</si>
  <si>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</si>
  <si>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</si>
  <si>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</si>
  <si>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</si>
  <si>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</si>
  <si>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</si>
  <si>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</si>
  <si>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</si>
  <si>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</si>
  <si>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</si>
  <si>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</si>
  <si>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</si>
  <si>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</si>
  <si>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</si>
  <si>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</si>
  <si>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</si>
  <si>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</si>
  <si>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</si>
  <si>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</si>
  <si>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</si>
  <si>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</si>
  <si>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</si>
  <si>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</si>
  <si>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</si>
  <si>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</si>
  <si>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</si>
  <si>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</si>
  <si>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</si>
  <si>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</si>
  <si>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</si>
  <si>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</si>
  <si>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</si>
  <si>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</si>
  <si>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</si>
  <si>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</si>
  <si>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</si>
  <si>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</si>
  <si>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</si>
  <si>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</si>
  <si>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</si>
  <si>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</si>
  <si>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</si>
  <si>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</si>
  <si>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</si>
  <si>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</si>
  <si>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</si>
  <si>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</si>
  <si>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</si>
  <si>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</si>
  <si>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</si>
  <si>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</si>
  <si>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</si>
  <si>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</si>
  <si>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</si>
  <si>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</si>
  <si>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</si>
  <si>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</si>
  <si>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</si>
  <si>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</si>
  <si>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</si>
  <si>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</si>
  <si>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</si>
  <si>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</si>
  <si>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</si>
  <si>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</si>
  <si>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</si>
  <si>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</si>
  <si>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</si>
  <si>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</si>
  <si>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</si>
  <si>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</si>
  <si>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</si>
  <si>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</si>
  <si>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</si>
  <si>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</si>
  <si>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</si>
  <si>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</si>
  <si>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</si>
  <si>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</si>
  <si>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</si>
  <si>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</si>
  <si>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</si>
  <si>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</si>
  <si>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</si>
  <si>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</si>
  <si>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</si>
  <si>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</si>
  <si>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</si>
  <si>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</si>
  <si>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</si>
  <si>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</si>
  <si>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</si>
  <si>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</si>
  <si>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</si>
  <si>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</si>
  <si>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</si>
  <si>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</si>
  <si>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</si>
  <si>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</si>
  <si>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</si>
  <si>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</si>
  <si>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</si>
  <si>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</si>
  <si>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</si>
  <si>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</si>
  <si>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</si>
  <si>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</si>
  <si>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</si>
  <si>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</si>
  <si>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</si>
  <si>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</si>
  <si>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</si>
  <si>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</si>
  <si>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</si>
  <si>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</si>
  <si>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</si>
  <si>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</si>
  <si>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</si>
  <si>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</si>
  <si>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</si>
  <si>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</si>
  <si>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</si>
  <si>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</si>
  <si>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</si>
  <si>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</si>
  <si>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</si>
  <si>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</si>
  <si>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</si>
  <si>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</si>
  <si>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</si>
  <si>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</si>
  <si>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</si>
  <si>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</si>
  <si>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</si>
  <si>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</si>
  <si>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</si>
  <si>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</si>
  <si>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</si>
  <si>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</si>
  <si>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</si>
  <si>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</si>
  <si>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</si>
  <si>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</si>
  <si>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</si>
  <si>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</si>
  <si>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</si>
  <si>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</si>
  <si>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</si>
  <si>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</si>
  <si>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</si>
  <si>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</si>
  <si>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</si>
  <si>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</si>
  <si>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</si>
  <si>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</si>
  <si>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</si>
  <si>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</si>
  <si>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</si>
  <si>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</si>
  <si>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</si>
  <si>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</si>
  <si>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</si>
  <si>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</si>
  <si>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</si>
  <si>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</si>
  <si>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</si>
  <si>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</si>
  <si>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</si>
  <si>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</si>
  <si>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</si>
  <si>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</si>
  <si>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</si>
  <si>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</si>
  <si>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</si>
  <si>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</si>
  <si>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</si>
  <si>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</si>
  <si>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</si>
  <si>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</si>
  <si>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</si>
  <si>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</si>
  <si>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</si>
  <si>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</si>
  <si>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</si>
  <si>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</si>
  <si>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</si>
  <si>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</si>
  <si>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</si>
  <si>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</si>
  <si>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</si>
  <si>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</si>
  <si>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</si>
  <si>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</si>
  <si>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</si>
  <si>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</si>
  <si>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</si>
  <si>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</si>
  <si>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</si>
  <si>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</si>
  <si>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</si>
  <si>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</si>
  <si>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</si>
  <si>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</si>
  <si>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</si>
  <si>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</si>
  <si>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</si>
  <si>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</si>
  <si>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</si>
  <si>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</si>
  <si>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</si>
  <si>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</si>
  <si>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</si>
  <si>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</si>
  <si>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</si>
  <si>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</si>
  <si>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</si>
  <si>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</si>
  <si>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</si>
  <si>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</si>
  <si>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</si>
  <si>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</si>
  <si>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</si>
  <si>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</si>
  <si>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</si>
  <si>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</si>
  <si>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</si>
  <si>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</si>
  <si>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</si>
  <si>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</si>
  <si>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</si>
  <si>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</si>
  <si>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</si>
  <si>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</si>
  <si>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</si>
  <si>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</si>
  <si>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</si>
  <si>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</si>
  <si>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</si>
  <si>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</si>
  <si>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</si>
  <si>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</si>
  <si>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</si>
  <si>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</si>
  <si>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</si>
  <si>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</si>
  <si>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</si>
  <si>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</si>
  <si>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</si>
  <si>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</si>
  <si>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</si>
  <si>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</si>
  <si>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</si>
  <si>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</si>
  <si>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</si>
  <si>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</si>
  <si>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</si>
  <si>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</si>
  <si>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</si>
  <si>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</si>
  <si>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</si>
  <si>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</si>
  <si>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</si>
  <si>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</si>
  <si>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</si>
  <si>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</si>
  <si>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</si>
  <si>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</si>
  <si>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</si>
  <si>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</si>
  <si>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</si>
  <si>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</si>
  <si>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</si>
  <si>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</si>
  <si>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</si>
  <si>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</si>
  <si>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</si>
  <si>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</si>
  <si>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</si>
  <si>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</si>
  <si>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</si>
  <si>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</si>
  <si>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</si>
  <si>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</si>
  <si>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</si>
  <si>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</si>
  <si>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</si>
  <si>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</si>
  <si>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</si>
  <si>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</si>
  <si>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</si>
  <si>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</si>
  <si>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</si>
  <si>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</si>
  <si>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</si>
  <si>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</si>
  <si>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</si>
  <si>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</si>
  <si>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</si>
  <si>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</si>
  <si>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</si>
  <si>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</si>
  <si>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</si>
  <si>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</si>
  <si>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</si>
  <si>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</si>
  <si>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</si>
  <si>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</si>
  <si>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</si>
  <si>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</si>
  <si>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</si>
  <si>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</si>
  <si>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</si>
  <si>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</si>
  <si>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</si>
  <si>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</si>
  <si>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</si>
  <si>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</si>
  <si>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</si>
  <si>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</si>
  <si>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</si>
  <si>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</si>
  <si>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</si>
  <si>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</si>
  <si>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</si>
  <si>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</si>
  <si>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</si>
  <si>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</si>
  <si>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</si>
  <si>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</si>
  <si>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</si>
  <si>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</si>
  <si>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</si>
  <si>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</si>
  <si>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</si>
  <si>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</si>
  <si>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</si>
  <si>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</si>
  <si>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</si>
  <si>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</si>
  <si>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</si>
  <si>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</si>
  <si>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</si>
  <si>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</si>
  <si>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</si>
  <si>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</si>
  <si>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</si>
  <si>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</si>
  <si>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</si>
  <si>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</si>
  <si>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</si>
  <si>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</si>
  <si>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</si>
  <si>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</si>
  <si>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</si>
  <si>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</si>
  <si>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</si>
  <si>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</si>
  <si>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</si>
  <si>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</si>
  <si>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</si>
  <si>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</si>
  <si>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</si>
  <si>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</si>
  <si>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</si>
  <si>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</si>
  <si>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</si>
  <si>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</si>
  <si>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</si>
  <si>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</si>
  <si>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</si>
  <si>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</si>
  <si>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</si>
  <si>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</si>
  <si>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</si>
  <si>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</si>
  <si>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</si>
  <si>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</si>
  <si>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</si>
  <si>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</si>
  <si>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</si>
  <si>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</si>
  <si>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</si>
  <si>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</si>
  <si>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</si>
  <si>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</si>
  <si>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</si>
  <si>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</si>
  <si>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</si>
  <si>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</si>
  <si>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</si>
  <si>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</si>
  <si>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</si>
  <si>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</si>
  <si>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</si>
  <si>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</si>
  <si>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</si>
  <si>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</si>
  <si>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</si>
  <si>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</si>
  <si>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</si>
  <si>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</si>
  <si>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</si>
  <si>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</si>
  <si>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</si>
  <si>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</si>
  <si>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</si>
  <si>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</si>
  <si>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</si>
  <si>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</si>
  <si>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</si>
  <si>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</si>
  <si>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</si>
  <si>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</si>
  <si>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</si>
  <si>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</si>
  <si>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</si>
  <si>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</si>
  <si>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</si>
  <si>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</si>
  <si>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</si>
  <si>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</si>
  <si>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</si>
  <si>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</si>
  <si>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</si>
  <si>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</si>
  <si>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</si>
  <si>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</si>
  <si>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</si>
  <si>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</si>
  <si>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</si>
  <si>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</si>
  <si>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</si>
  <si>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</si>
  <si>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</si>
  <si>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</si>
  <si>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</si>
  <si>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</si>
  <si>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</si>
  <si>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</si>
  <si>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</si>
  <si>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</si>
  <si>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</si>
  <si>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</si>
  <si>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</si>
  <si>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</si>
  <si>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</si>
  <si>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</si>
  <si>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</si>
  <si>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</si>
  <si>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</si>
  <si>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</si>
  <si>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</si>
  <si>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</si>
  <si>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</si>
  <si>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</si>
  <si>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</si>
  <si>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</si>
  <si>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</si>
  <si>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</si>
  <si>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</si>
  <si>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</si>
  <si>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</si>
  <si>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</si>
  <si>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</si>
  <si>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</si>
  <si>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</si>
  <si>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</si>
  <si>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</si>
  <si>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</si>
  <si>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</si>
  <si>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</si>
  <si>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</si>
  <si>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</si>
  <si>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</si>
  <si>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</si>
  <si>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</si>
  <si>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</si>
  <si>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</si>
  <si>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</si>
  <si>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</si>
  <si>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</si>
  <si>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</si>
  <si>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</si>
  <si>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</si>
  <si>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</si>
  <si>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</si>
  <si>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</si>
  <si>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</si>
  <si>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</si>
  <si>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</si>
  <si>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</si>
  <si>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</si>
  <si>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</si>
  <si>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</si>
  <si>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</si>
  <si>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</si>
  <si>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</si>
  <si>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</si>
  <si>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</si>
  <si>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</si>
  <si>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</si>
  <si>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</si>
  <si>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</si>
  <si>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</si>
  <si>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</si>
  <si>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</si>
  <si>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</si>
  <si>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</si>
  <si>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</si>
  <si>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</si>
  <si>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</si>
  <si>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</si>
  <si>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</si>
  <si>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</si>
  <si>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</si>
  <si>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</si>
  <si>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</si>
  <si>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</si>
  <si>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</si>
  <si>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</si>
  <si>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</si>
  <si>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</si>
  <si>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</si>
  <si>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</si>
  <si>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</si>
  <si>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</si>
  <si>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</si>
  <si>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</si>
  <si>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</si>
  <si>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</si>
  <si>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</si>
  <si>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</si>
  <si>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</si>
  <si>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</si>
  <si>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</si>
  <si>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</si>
  <si>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</si>
  <si>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</si>
  <si>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</si>
  <si>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</si>
  <si>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</si>
  <si>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</si>
  <si>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</si>
  <si>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</si>
  <si>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</si>
  <si>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</si>
  <si>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</si>
  <si>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</si>
  <si>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</si>
  <si>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</si>
  <si>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</si>
  <si>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</si>
  <si>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</si>
  <si>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</si>
  <si>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</si>
  <si>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</si>
  <si>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</si>
  <si>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</si>
  <si>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</si>
  <si>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</si>
  <si>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</si>
  <si>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</si>
  <si>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</si>
  <si>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</si>
  <si>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</si>
  <si>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</si>
  <si>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</si>
  <si>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</si>
  <si>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</si>
  <si>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</si>
  <si>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</si>
  <si>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</si>
  <si>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</si>
  <si>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</si>
  <si>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</si>
  <si>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</si>
  <si>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</si>
  <si>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</si>
  <si>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</si>
  <si>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</si>
  <si>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</si>
  <si>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</si>
  <si>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</si>
  <si>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</si>
  <si>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</si>
  <si>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</si>
  <si>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</si>
  <si>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</si>
  <si>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</si>
  <si>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</si>
  <si>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</si>
  <si>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</si>
  <si>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</si>
  <si>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</si>
  <si>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</si>
  <si>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</si>
  <si>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</si>
  <si>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</si>
  <si>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</si>
  <si>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</si>
  <si>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</si>
  <si>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</si>
  <si>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</si>
  <si>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</si>
  <si>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</si>
  <si>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</si>
  <si>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</si>
  <si>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</si>
  <si>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</si>
  <si>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</si>
  <si>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</si>
  <si>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</si>
  <si>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</si>
  <si>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</si>
  <si>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</si>
  <si>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</si>
  <si>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</si>
  <si>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</si>
  <si>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</si>
  <si>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</si>
  <si>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</si>
  <si>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</si>
  <si>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</si>
  <si>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</si>
  <si>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</si>
  <si>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</si>
  <si>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</si>
  <si>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</si>
  <si>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</si>
  <si>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</si>
  <si>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</si>
  <si>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</si>
  <si>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</si>
  <si>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</si>
  <si>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</si>
  <si>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</si>
  <si>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</si>
  <si>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</si>
  <si>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</si>
  <si>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</si>
  <si>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</si>
  <si>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</si>
  <si>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</si>
  <si>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</si>
  <si>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</si>
  <si>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</si>
  <si>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</si>
  <si>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</si>
  <si>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</si>
  <si>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</si>
  <si>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</si>
  <si>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</si>
  <si>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</si>
  <si>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</si>
  <si>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</si>
  <si>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</si>
  <si>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</si>
  <si>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</si>
  <si>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</si>
  <si>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</si>
  <si>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</si>
  <si>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</si>
  <si>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</si>
  <si>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</si>
  <si>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</si>
  <si>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</si>
  <si>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</si>
  <si>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</si>
  <si>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</si>
  <si>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</si>
  <si>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</si>
  <si>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</si>
  <si>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</si>
  <si>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</si>
  <si>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</si>
  <si>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</si>
  <si>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</si>
  <si>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</si>
  <si>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</si>
  <si>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</si>
  <si>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</si>
  <si>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</si>
  <si>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</si>
  <si>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</si>
  <si>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</si>
  <si>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</si>
  <si>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</si>
  <si>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</si>
  <si>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</si>
  <si>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</si>
  <si>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</si>
  <si>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</si>
  <si>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</si>
  <si>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</si>
  <si>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</si>
  <si>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</si>
  <si>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</si>
  <si>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</si>
  <si>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</si>
  <si>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</si>
  <si>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</si>
  <si>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</si>
  <si>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</si>
  <si>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</si>
  <si>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</si>
  <si>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</si>
  <si>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</si>
  <si>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</si>
  <si>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</si>
  <si>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</si>
  <si>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</si>
  <si>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</si>
  <si>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</si>
  <si>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</si>
  <si>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</si>
  <si>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</si>
  <si>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</si>
  <si>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</si>
  <si>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</si>
  <si>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</si>
  <si>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</si>
  <si>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</si>
  <si>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</si>
  <si>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</si>
  <si>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</si>
  <si>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</si>
  <si>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</si>
  <si>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</si>
  <si>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</si>
  <si>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</si>
  <si>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</si>
  <si>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</si>
  <si>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</si>
  <si>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</si>
  <si>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</si>
  <si>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</si>
  <si>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</si>
  <si>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</si>
  <si>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</si>
  <si>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</si>
  <si>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</si>
  <si>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</si>
  <si>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</si>
  <si>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</si>
  <si>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</si>
  <si>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</si>
  <si>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</si>
  <si>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</si>
  <si>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</si>
  <si>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</si>
  <si>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</si>
  <si>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</si>
  <si>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</si>
  <si>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</si>
  <si>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</si>
  <si>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</si>
  <si>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</si>
  <si>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</si>
  <si>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</si>
  <si>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</si>
  <si>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</si>
  <si>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</si>
  <si>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</si>
  <si>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</si>
  <si>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</si>
  <si>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</si>
  <si>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</si>
  <si>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</si>
  <si>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</si>
  <si>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</si>
  <si>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</si>
  <si>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</si>
  <si>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</si>
  <si>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</si>
  <si>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</si>
  <si>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</si>
  <si>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</si>
  <si>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</si>
  <si>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</si>
  <si>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</si>
  <si>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</si>
  <si>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</si>
  <si>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</si>
  <si>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</si>
  <si>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</si>
  <si>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</si>
  <si>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</si>
  <si>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</si>
  <si>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</si>
  <si>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</si>
  <si>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</si>
  <si>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</si>
  <si>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</si>
  <si>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</si>
  <si>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</si>
  <si>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</si>
  <si>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</si>
  <si>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</si>
  <si>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</si>
  <si>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</si>
  <si>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</si>
  <si>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</si>
  <si>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</si>
  <si>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</si>
  <si>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</si>
  <si>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</si>
  <si>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</si>
  <si>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</si>
  <si>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</si>
  <si>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</si>
  <si>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</si>
  <si>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</si>
  <si>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</si>
  <si>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</si>
  <si>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</si>
  <si>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</si>
  <si>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</si>
  <si>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</si>
  <si>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</si>
  <si>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</si>
  <si>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</si>
  <si>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</si>
  <si>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</si>
  <si>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</si>
  <si>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</si>
  <si>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</si>
  <si>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</si>
  <si>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</si>
  <si>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</si>
  <si>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</si>
  <si>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</si>
  <si>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</si>
  <si>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</si>
  <si>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</si>
  <si>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</si>
  <si>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</si>
  <si>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</si>
  <si>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</si>
  <si>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</si>
  <si>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</si>
  <si>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</si>
  <si>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</si>
  <si>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</si>
  <si>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</si>
  <si>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</si>
  <si>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</si>
  <si>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</si>
  <si>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</si>
  <si>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</si>
  <si>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</si>
  <si>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</si>
  <si>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</si>
  <si>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</si>
  <si>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</si>
  <si>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</si>
  <si>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</si>
  <si>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</si>
  <si>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</si>
  <si>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</si>
  <si>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</si>
  <si>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</si>
  <si>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</si>
  <si>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</si>
  <si>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</si>
  <si>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</si>
  <si>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</si>
  <si>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</si>
  <si>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</si>
  <si>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</si>
  <si>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</si>
  <si>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</si>
  <si>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</si>
  <si>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</si>
  <si>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</si>
  <si>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</si>
  <si>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</si>
  <si>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</si>
  <si>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</si>
  <si>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</si>
  <si>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</si>
  <si>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</si>
  <si>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</si>
  <si>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</si>
  <si>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</si>
  <si>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</si>
  <si>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</si>
  <si>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</si>
  <si>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</si>
  <si>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</si>
  <si>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</si>
  <si>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</si>
  <si>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</si>
  <si>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</si>
  <si>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</si>
  <si>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</si>
  <si>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</si>
  <si>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</si>
  <si>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</si>
  <si>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</si>
  <si>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</si>
  <si>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</si>
  <si>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</si>
  <si>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</si>
  <si>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</si>
  <si>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</si>
  <si>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</si>
  <si>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</si>
  <si>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</si>
  <si>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</si>
  <si>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</si>
  <si>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</si>
  <si>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</si>
  <si>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</si>
  <si>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</si>
  <si>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</si>
  <si>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</si>
  <si>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</si>
  <si>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</si>
  <si>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</si>
  <si>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</si>
  <si>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</si>
  <si>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</si>
  <si>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</si>
  <si>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</si>
  <si>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</si>
  <si>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</si>
  <si>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</si>
  <si>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</si>
  <si>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</si>
  <si>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</si>
  <si>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</si>
  <si>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</si>
  <si>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</si>
  <si>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</si>
  <si>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</si>
  <si>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</si>
  <si>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</si>
  <si>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</si>
  <si>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</si>
  <si>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</si>
  <si>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</si>
  <si>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</si>
  <si>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</si>
  <si>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</si>
  <si>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</si>
  <si>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</si>
  <si>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</si>
  <si>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</si>
  <si>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</si>
  <si>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</si>
  <si>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</si>
  <si>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</si>
  <si>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</si>
  <si>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</si>
  <si>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</si>
  <si>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</si>
  <si>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</si>
  <si>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</si>
  <si>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</si>
  <si>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</si>
  <si>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</si>
  <si>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</si>
  <si>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</si>
  <si>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</si>
  <si>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</si>
  <si>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</si>
  <si>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</si>
  <si>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</si>
  <si>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</si>
  <si>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</si>
  <si>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</si>
  <si>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</si>
  <si>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</si>
  <si>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</si>
  <si>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</si>
  <si>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</si>
  <si>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</si>
  <si>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</si>
  <si>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</si>
  <si>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</si>
  <si>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</si>
  <si>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</si>
  <si>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</si>
  <si>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</si>
  <si>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</si>
  <si>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</si>
  <si>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</si>
  <si>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</si>
  <si>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</si>
  <si>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</si>
  <si>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</si>
  <si>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</si>
  <si>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</si>
  <si>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</si>
  <si>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</si>
  <si>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</si>
  <si>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</si>
  <si>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</si>
  <si>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</si>
  <si>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</si>
  <si>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</si>
  <si>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</si>
  <si>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</si>
  <si>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</si>
  <si>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</si>
  <si>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</si>
  <si>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</si>
  <si>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</si>
  <si>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</si>
  <si>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</si>
  <si>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</si>
  <si>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</si>
  <si>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</si>
  <si>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</si>
  <si>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</si>
  <si>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</si>
  <si>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</si>
  <si>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</si>
  <si>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</si>
  <si>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</si>
  <si>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</si>
  <si>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</si>
  <si>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</si>
  <si>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</si>
  <si>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</si>
  <si>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</si>
  <si>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</si>
  <si>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</si>
  <si>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</si>
  <si>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</si>
  <si>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</si>
  <si>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</si>
  <si>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</si>
  <si>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</si>
  <si>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</si>
  <si>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</si>
  <si>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</si>
  <si>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</si>
  <si>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</si>
  <si>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</si>
  <si>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</si>
  <si>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</si>
  <si>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</si>
  <si>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</si>
  <si>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</si>
  <si>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</si>
  <si>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</si>
  <si>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</si>
  <si>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</si>
  <si>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</si>
  <si>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</si>
  <si>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</si>
  <si>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</si>
  <si>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</si>
  <si>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</si>
  <si>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</si>
  <si>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</si>
  <si>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</si>
  <si>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</si>
  <si>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</si>
  <si>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</si>
  <si>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</si>
  <si>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</si>
  <si>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</si>
  <si>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</si>
  <si>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</si>
  <si>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</si>
  <si>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</si>
  <si>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</si>
  <si>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</si>
  <si>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</si>
  <si>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</si>
  <si>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</si>
  <si>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</si>
  <si>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</si>
  <si>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</si>
  <si>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</si>
  <si>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</si>
  <si>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</si>
  <si>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</si>
  <si>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</si>
  <si>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</si>
  <si>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</si>
  <si>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</si>
  <si>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</si>
  <si>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</si>
  <si>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</si>
  <si>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</si>
  <si>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</si>
  <si>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</si>
  <si>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</si>
  <si>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</si>
  <si>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</si>
  <si>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</si>
  <si>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</si>
  <si>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</si>
  <si>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</si>
  <si>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</si>
  <si>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</si>
  <si>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</si>
  <si>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</si>
  <si>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</si>
  <si>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</si>
  <si>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</si>
  <si>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</si>
  <si>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</si>
  <si>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</si>
  <si>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</si>
  <si>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</si>
  <si>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</si>
  <si>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</si>
  <si>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</si>
  <si>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</si>
  <si>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</si>
  <si>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</si>
  <si>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</si>
  <si>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</si>
  <si>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</si>
  <si>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</si>
  <si>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</si>
  <si>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</si>
  <si>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</si>
  <si>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</si>
  <si>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</si>
  <si>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</si>
  <si>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</si>
  <si>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</si>
  <si>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</si>
  <si>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</si>
  <si>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</si>
  <si>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</si>
  <si>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</si>
  <si>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</si>
  <si>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</si>
  <si>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</si>
  <si>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</si>
  <si>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</si>
  <si>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</si>
  <si>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</si>
  <si>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</si>
  <si>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</si>
  <si>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</si>
  <si>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</si>
  <si>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</si>
  <si>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</si>
  <si>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</si>
  <si>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</si>
  <si>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</si>
  <si>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</si>
  <si>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</si>
  <si>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</si>
  <si>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</si>
  <si>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</si>
  <si>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</si>
  <si>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</si>
  <si>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</si>
  <si>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</si>
  <si>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</si>
  <si>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</si>
  <si>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</si>
  <si>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</si>
  <si>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</si>
  <si>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</si>
  <si>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</si>
  <si>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</si>
  <si>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</si>
  <si>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</si>
  <si>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</si>
  <si>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</si>
  <si>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</si>
  <si>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</si>
  <si>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</si>
  <si>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</si>
  <si>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</si>
  <si>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</si>
  <si>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</si>
  <si>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</si>
  <si>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</si>
  <si>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</si>
  <si>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</si>
  <si>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</si>
  <si>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</si>
  <si>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</si>
  <si>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</si>
  <si>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</si>
  <si>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</si>
  <si>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</si>
  <si>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</si>
  <si>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</si>
  <si>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</si>
  <si>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</si>
  <si>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</si>
  <si>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</si>
  <si>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</si>
  <si>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</si>
  <si>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</si>
  <si>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</si>
  <si>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</si>
  <si>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</si>
  <si>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</si>
  <si>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</si>
  <si>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</si>
  <si>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</si>
  <si>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</si>
  <si>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</si>
  <si>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</si>
  <si>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</si>
  <si>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</si>
  <si>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</si>
  <si>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</si>
  <si>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</si>
  <si>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</si>
  <si>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</si>
  <si>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</si>
  <si>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</si>
  <si>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</si>
  <si>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</si>
  <si>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</si>
  <si>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</si>
  <si>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</si>
  <si>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</si>
  <si>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</si>
  <si>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</si>
  <si>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</si>
  <si>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</si>
  <si>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</si>
  <si>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</si>
  <si>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</si>
  <si>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</si>
  <si>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</si>
  <si>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</si>
  <si>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</si>
  <si>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</si>
  <si>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</si>
  <si>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</si>
  <si>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</si>
  <si>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</si>
  <si>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</si>
  <si>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</si>
  <si>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</si>
  <si>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</si>
  <si>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</si>
  <si>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</si>
  <si>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</si>
  <si>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</si>
  <si>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</si>
  <si>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</si>
  <si>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</si>
  <si>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</si>
  <si>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</si>
  <si>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</si>
  <si>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</si>
  <si>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</si>
  <si>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</si>
  <si>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</si>
  <si>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</si>
  <si>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</si>
  <si>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</si>
  <si>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</si>
  <si>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</si>
  <si>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</si>
  <si>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</si>
  <si>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</si>
  <si>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</si>
  <si>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</si>
  <si>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</si>
  <si>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</si>
  <si>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</si>
  <si>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</si>
  <si>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</si>
  <si>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</si>
  <si>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</si>
  <si>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</si>
  <si>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</si>
  <si>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</si>
  <si>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</si>
  <si>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</si>
  <si>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</si>
  <si>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</si>
  <si>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</si>
  <si>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</si>
  <si>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</si>
  <si>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</si>
  <si>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</si>
  <si>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</si>
  <si>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</si>
  <si>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</si>
  <si>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</si>
  <si>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</si>
  <si>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</si>
  <si>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</si>
  <si>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</si>
  <si>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</si>
  <si>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</si>
  <si>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</si>
  <si>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</si>
  <si>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</si>
  <si>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</si>
  <si>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</si>
  <si>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</si>
  <si>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</si>
  <si>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</si>
  <si>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</si>
  <si>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</si>
  <si>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</si>
  <si>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</si>
  <si>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</si>
  <si>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</si>
  <si>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</si>
  <si>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</si>
  <si>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</si>
  <si>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</si>
  <si>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</si>
  <si>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</si>
  <si>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</si>
  <si>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</si>
  <si>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</si>
  <si>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</si>
  <si>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</si>
  <si>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</si>
  <si>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</si>
  <si>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</si>
  <si>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</si>
  <si>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</si>
  <si>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</si>
  <si>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</si>
  <si>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</si>
  <si>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</si>
  <si>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</si>
  <si>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</si>
  <si>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</si>
  <si>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</si>
  <si>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</si>
  <si>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</si>
  <si>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</si>
  <si>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</si>
  <si>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</si>
  <si>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</si>
  <si>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</si>
  <si>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</si>
  <si>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</si>
  <si>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</si>
  <si>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</si>
  <si>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</si>
  <si>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</si>
  <si>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</si>
  <si>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</si>
  <si>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</si>
  <si>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</si>
  <si>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</si>
  <si>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</si>
  <si>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</si>
  <si>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</si>
  <si>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</si>
  <si>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</si>
  <si>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</si>
  <si>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</si>
  <si>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</si>
  <si>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</si>
  <si>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</si>
  <si>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</si>
  <si>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</si>
  <si>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</si>
  <si>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</si>
  <si>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</si>
  <si>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</si>
  <si>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</si>
  <si>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</si>
  <si>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</si>
  <si>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</si>
  <si>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</si>
  <si>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</si>
  <si>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</si>
  <si>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</si>
  <si>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</si>
  <si>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</si>
  <si>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</si>
  <si>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</si>
  <si>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</si>
  <si>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</si>
  <si>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</si>
  <si>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</si>
  <si>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</si>
  <si>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</si>
  <si>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</si>
  <si>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</si>
  <si>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</si>
  <si>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</si>
  <si>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</si>
  <si>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</si>
  <si>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</si>
  <si>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</si>
  <si>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</si>
  <si>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</si>
  <si>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</si>
  <si>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</si>
  <si>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</si>
  <si>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</si>
  <si>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</si>
  <si>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</si>
  <si>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</si>
  <si>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</si>
  <si>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</si>
  <si>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</si>
  <si>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</si>
  <si>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</si>
  <si>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</si>
  <si>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</si>
  <si>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</si>
  <si>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</si>
  <si>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</si>
  <si>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</si>
  <si>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</si>
  <si>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</si>
  <si>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</si>
  <si>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</si>
  <si>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</si>
  <si>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</si>
  <si>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</si>
  <si>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</si>
  <si>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</si>
  <si>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</si>
  <si>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</si>
  <si>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</si>
  <si>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</si>
  <si>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</si>
  <si>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</si>
  <si>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</si>
  <si>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</si>
  <si>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</si>
  <si>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</si>
  <si>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</si>
  <si>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</si>
  <si>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</si>
  <si>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</si>
  <si>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</si>
  <si>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</si>
  <si>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</si>
  <si>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</si>
  <si>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</si>
  <si>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</si>
  <si>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</si>
  <si>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</si>
  <si>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</si>
  <si>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</si>
  <si>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</si>
  <si>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</si>
  <si>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</si>
  <si>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</si>
  <si>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</si>
  <si>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</si>
  <si>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</si>
  <si>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</si>
  <si>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</si>
  <si>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</si>
  <si>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</si>
  <si>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</si>
  <si>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</si>
  <si>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</si>
  <si>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</si>
  <si>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</si>
  <si>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</si>
  <si>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</si>
  <si>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</si>
  <si>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</si>
  <si>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</si>
  <si>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</si>
  <si>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</si>
  <si>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</si>
  <si>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</si>
  <si>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</si>
  <si>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</si>
  <si>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</si>
  <si>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</si>
  <si>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</si>
  <si>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</si>
  <si>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</si>
  <si>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</si>
  <si>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</si>
  <si>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</si>
  <si>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</si>
  <si>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</si>
  <si>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</si>
  <si>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</si>
  <si>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</si>
  <si>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</si>
  <si>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</si>
  <si>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</si>
  <si>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</si>
  <si>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</si>
  <si>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</si>
  <si>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</si>
  <si>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</si>
  <si>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</si>
  <si>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</si>
  <si>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</si>
  <si>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</si>
  <si>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</si>
  <si>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</si>
  <si>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</si>
  <si>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</si>
  <si>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</si>
  <si>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</si>
  <si>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</si>
  <si>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</si>
  <si>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</si>
  <si>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</si>
  <si>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</si>
  <si>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</si>
  <si>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</si>
  <si>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</si>
  <si>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</si>
  <si>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</si>
  <si>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</si>
  <si>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</si>
  <si>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</si>
  <si>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</si>
  <si>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</si>
  <si>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</si>
  <si>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</si>
  <si>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</si>
  <si>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</si>
  <si>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</si>
  <si>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</si>
  <si>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</si>
  <si>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</si>
  <si>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</si>
  <si>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</si>
  <si>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</si>
  <si>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</si>
  <si>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</si>
  <si>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</si>
  <si>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</si>
  <si>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</si>
  <si>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</si>
  <si>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</si>
  <si>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</si>
  <si>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</si>
  <si>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</si>
  <si>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</si>
  <si>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</si>
  <si>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</si>
  <si>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</si>
  <si>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</si>
  <si>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</si>
  <si>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</si>
  <si>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</si>
  <si>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</si>
  <si>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</si>
  <si>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</si>
  <si>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</si>
  <si>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</si>
  <si>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</si>
  <si>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</si>
  <si>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</si>
  <si>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</si>
  <si>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</si>
  <si>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</si>
  <si>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</si>
  <si>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</si>
  <si>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</si>
  <si>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</si>
  <si>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</si>
  <si>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</si>
  <si>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</si>
  <si>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</si>
  <si>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</si>
  <si>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</si>
  <si>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</si>
  <si>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</si>
  <si>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</si>
  <si>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</si>
  <si>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</si>
  <si>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</si>
  <si>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</si>
  <si>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</si>
  <si>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</si>
  <si>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</si>
  <si>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</si>
  <si>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</si>
  <si>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</si>
  <si>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</si>
  <si>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</si>
  <si>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</si>
  <si>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</si>
  <si>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</si>
  <si>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</si>
  <si>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</si>
  <si>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</si>
  <si>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</si>
  <si>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</si>
  <si>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</si>
  <si>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</si>
  <si>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</si>
  <si>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</si>
  <si>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</si>
  <si>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</si>
  <si>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</si>
  <si>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</si>
  <si>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</si>
  <si>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</si>
  <si>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</si>
  <si>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</si>
  <si>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</si>
  <si>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</si>
  <si>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</si>
  <si>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</si>
  <si>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</si>
  <si>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</si>
  <si>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</si>
  <si>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</si>
  <si>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</si>
  <si>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</si>
  <si>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</si>
  <si>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</si>
  <si>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</si>
  <si>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</si>
  <si>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</si>
  <si>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</si>
  <si>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</si>
  <si>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</si>
  <si>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</si>
  <si>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</si>
  <si>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</si>
  <si>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</si>
  <si>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</si>
  <si>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</si>
  <si>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</si>
  <si>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</si>
  <si>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</si>
  <si>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</si>
  <si>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</si>
  <si>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</si>
  <si>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</si>
  <si>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</si>
  <si>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</si>
  <si>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</si>
  <si>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</si>
  <si>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</si>
  <si>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</si>
  <si>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</si>
  <si>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</si>
  <si>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</si>
  <si>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</si>
  <si>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</si>
  <si>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</si>
  <si>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</si>
  <si>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</si>
  <si>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</si>
  <si>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</si>
  <si>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</si>
  <si>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</si>
  <si>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</si>
  <si>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</si>
  <si>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</si>
  <si>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</si>
  <si>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</si>
  <si>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</si>
  <si>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</si>
  <si>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</si>
  <si>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</si>
  <si>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</si>
  <si>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</si>
  <si>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</si>
  <si>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</si>
  <si>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</si>
  <si>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</si>
  <si>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</si>
  <si>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</si>
  <si>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</si>
  <si>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</si>
  <si>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</si>
  <si>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</si>
  <si>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</si>
  <si>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</si>
  <si>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</si>
  <si>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</si>
  <si>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</si>
  <si>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</si>
  <si>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</si>
  <si>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</si>
  <si>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</si>
  <si>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</si>
  <si>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</si>
  <si>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</si>
  <si>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</si>
  <si>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</si>
  <si>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</si>
  <si>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</si>
  <si>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</si>
  <si>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</si>
  <si>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</si>
  <si>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</si>
  <si>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</si>
  <si>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</si>
  <si>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</si>
  <si>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</si>
  <si>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</si>
  <si>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</si>
  <si>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</si>
  <si>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</si>
  <si>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</si>
  <si>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</si>
  <si>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</si>
  <si>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</si>
  <si>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</si>
  <si>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</si>
  <si>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</si>
  <si>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</si>
  <si>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</si>
  <si>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</si>
  <si>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</si>
  <si>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</si>
  <si>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</si>
  <si>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</si>
  <si>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</si>
  <si>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</si>
  <si>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</si>
  <si>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</si>
  <si>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</si>
  <si>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</si>
  <si>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</si>
  <si>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</si>
  <si>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</si>
  <si>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</si>
  <si>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</si>
  <si>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</si>
  <si>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</si>
  <si>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</si>
  <si>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</si>
  <si>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</si>
  <si>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</si>
  <si>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</si>
  <si>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</si>
  <si>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</si>
  <si>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</si>
  <si>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</si>
  <si>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</si>
  <si>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</si>
  <si>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</si>
  <si>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</si>
  <si>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</si>
  <si>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</si>
  <si>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</si>
  <si>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</si>
  <si>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</si>
  <si>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</si>
  <si>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</si>
  <si>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</si>
  <si>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</si>
  <si>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</si>
  <si>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</si>
  <si>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</si>
  <si>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</si>
  <si>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</si>
  <si>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</si>
  <si>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</si>
  <si>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</si>
  <si>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</si>
  <si>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</si>
  <si>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</si>
  <si>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</si>
  <si>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</si>
  <si>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</si>
  <si>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</si>
  <si>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</si>
  <si>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</si>
  <si>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</si>
  <si>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</si>
  <si>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</si>
  <si>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</si>
  <si>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</si>
  <si>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</si>
  <si>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</si>
  <si>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</si>
  <si>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</si>
  <si>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</si>
  <si>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</si>
  <si>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</si>
  <si>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</si>
  <si>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</si>
  <si>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</si>
  <si>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</si>
  <si>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</si>
  <si>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</si>
  <si>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</si>
  <si>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</si>
  <si>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</si>
  <si>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</si>
  <si>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</si>
  <si>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</si>
  <si>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</si>
  <si>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</si>
  <si>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</si>
  <si>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</si>
  <si>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</si>
  <si>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</si>
  <si>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</si>
  <si>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</si>
  <si>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</si>
  <si>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</si>
  <si>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</si>
  <si>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</si>
  <si>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</si>
  <si>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</si>
  <si>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</si>
  <si>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</si>
  <si>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</si>
  <si>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</si>
  <si>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</si>
  <si>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</si>
  <si>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</si>
  <si>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</si>
  <si>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</si>
  <si>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</si>
  <si>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</si>
  <si>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</si>
  <si>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</si>
  <si>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</si>
  <si>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</si>
  <si>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</si>
  <si>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</si>
  <si>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</si>
  <si>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</si>
  <si>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</si>
  <si>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</si>
  <si>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</si>
  <si>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</si>
  <si>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</si>
  <si>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</si>
  <si>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</si>
  <si>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</si>
  <si>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</si>
  <si>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</si>
  <si>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</si>
  <si>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</si>
  <si>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</si>
  <si>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</si>
  <si>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</si>
  <si>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</si>
  <si>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</si>
  <si>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</si>
  <si>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</si>
  <si>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</si>
  <si>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</si>
  <si>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</si>
  <si>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</si>
  <si>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</si>
  <si>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</si>
  <si>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</si>
  <si>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</si>
  <si>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</si>
  <si>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</si>
  <si>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</si>
  <si>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</si>
  <si>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</si>
  <si>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</si>
  <si>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</si>
  <si>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</si>
  <si>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</si>
  <si>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</si>
  <si>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</si>
  <si>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</si>
  <si>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</si>
  <si>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</si>
  <si>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</si>
  <si>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</si>
  <si>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</si>
  <si>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</si>
  <si>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</si>
  <si>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</si>
  <si>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</si>
  <si>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</si>
  <si>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</si>
  <si>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</si>
  <si>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</si>
  <si>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</si>
  <si>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</si>
  <si>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</si>
  <si>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</si>
  <si>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</si>
  <si>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</si>
  <si>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</si>
  <si>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</si>
  <si>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</si>
  <si>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</si>
  <si>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</si>
  <si>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</si>
  <si>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</si>
  <si>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</si>
  <si>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</si>
  <si>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</si>
  <si>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</si>
  <si>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</si>
  <si>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</si>
  <si>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</si>
  <si>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</si>
  <si>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</si>
  <si>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</si>
  <si>
    <t>No. of Insured</t>
  </si>
  <si>
    <t>IP Incidence Rate*</t>
  </si>
  <si>
    <t>(no. of visit per member)</t>
  </si>
  <si>
    <t>IP Average Incurred</t>
  </si>
  <si>
    <t>IP Average Paid</t>
  </si>
  <si>
    <t>EIB Research 2025</t>
  </si>
  <si>
    <t>-</t>
  </si>
  <si>
    <t>OP Incidence Rate*</t>
  </si>
  <si>
    <t>OP Average Incurred</t>
  </si>
  <si>
    <t>OP Average Paid</t>
  </si>
  <si>
    <t>Member composition %</t>
  </si>
  <si>
    <t>Claim Paid Composition %</t>
  </si>
  <si>
    <t xml:space="preserve">  - Overall</t>
  </si>
  <si>
    <t xml:space="preserve">  - Hospital (Incl. SMM)</t>
  </si>
  <si>
    <t xml:space="preserve">  - Clinical</t>
  </si>
  <si>
    <t xml:space="preserve">  - Dental</t>
  </si>
  <si>
    <t>Claim Paid Composition Analysis</t>
  </si>
  <si>
    <t xml:space="preserve">  - Maternity</t>
  </si>
  <si>
    <t xml:space="preserve">  - Optical</t>
  </si>
  <si>
    <t>*Annualized with IBNR</t>
  </si>
  <si>
    <t>Annualize</t>
  </si>
  <si>
    <t>IBNR</t>
  </si>
  <si>
    <t>No of Members</t>
  </si>
  <si>
    <t xml:space="preserve">Claim Paid </t>
  </si>
  <si>
    <t>Dep Type</t>
  </si>
  <si>
    <t>No. of Claims</t>
  </si>
  <si>
    <t>times/EE</t>
  </si>
  <si>
    <t>Member</t>
  </si>
  <si>
    <t>% of Member</t>
  </si>
  <si>
    <t>Frequent Claimants Analysis (Current Plan)</t>
  </si>
  <si>
    <t>Chinese Med (TCM)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</si>
</sst>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23">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
      <b/>
      <sz val="15"/>
      <color theme="3"/>
      <name val="Calibri"/>
      <family val="2"/>
      <scheme val="minor"/>
    </font>
    <font>
      <b/>
      <sz val="14"/>
      <color rgb="FF000000"/>
      <name val="Gotham light"/>
    </font>
    <font>
      <b/>
      <i/>
      <sz val="16"/>
      <color rgb="FFFFFFFF"/>
      <name val="Gotham light"/>
    </font>
    <font>
      <b/>
      <sz val="18"/>
      <color theme="3"/>
      <name val="Calibri"/>
      <family val="2"/>
      <scheme val="minor"/>
    </font>
    <font>
      <sz val="16"/>
      <color rgb="FF000000"/>
      <name val="Univers"/>
    </font>
    <font>
      <sz val="16"/>
      <name val="Univers"/>
    </font>
    <font>
      <b/>
      <sz val="16"/>
      <color rgb="FF000000"/>
      <name val="Univers"/>
    </font>
    <font>
      <b/>
      <i/>
      <sz val="16"/>
      <color rgb="FFFFFFFF"/>
      <name val="Univers"/>
    </font>
    <font>
      <b/>
      <i/>
      <sz val="16"/>
      <color rgb="FFF2F2F2"/>
      <name val="Univers"/>
    </font>
    <font>
      <b/>
      <i/>
      <sz val="16"/>
      <color rgb="FF000000"/>
      <name val="Univers"/>
    </font>
    <font>
      <sz val="16"/>
      <color theme="1"/>
      <name val="Univers"/>
    </font>
  </fonts>
  <fills count="49">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
      <patternFill patternType="solid">
        <fgColor rgb="FFEAB100"/>
        <bgColor indexed="64"/>
      </patternFill>
    </fill>
    <fill>
      <patternFill patternType="solid">
        <fgColor rgb="FFFFEFCB"/>
        <bgColor indexed="64"/>
      </patternFill>
    </fill>
    <fill>
      <patternFill patternType="solid">
        <fgColor rgb="FFFFF7E8"/>
        <bgColor indexed="64"/>
      </patternFill>
    </fill>
  </fills>
  <borders count="2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
      <left/>
      <right/>
      <top/>
      <bottom style="thick">
        <color theme="4"/>
      </bottom>
      <diagonal/>
    </border>
    <border>
      <left style="thin">
        <color rgb="FF000000"/>
      </left>
      <right style="thin">
        <color rgb="FFD9D9D9"/>
      </right>
      <top style="thin">
        <color rgb="FF000000"/>
      </top>
      <bottom style="thin">
        <color rgb="FF000000"/>
      </bottom>
      <diagonal/>
    </border>
    <border>
      <left style="thin">
        <color rgb="FF000000"/>
      </left>
      <right style="thin">
        <color rgb="FFD9D9D9"/>
      </right>
      <top style="thin">
        <color rgb="FF000000"/>
      </top>
      <bottom/>
      <diagonal/>
    </border>
    <border>
      <left style="thin">
        <color rgb="FF000000"/>
      </left>
      <right style="thin">
        <color rgb="FFD9D9D9"/>
      </right>
      <top/>
      <bottom style="thin">
        <color rgb="FF000000"/>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diagonal/>
    </border>
    <border>
      <left style="thin">
        <color rgb="FFD9D9D9"/>
      </left>
      <right style="thin">
        <color rgb="FFD9D9D9"/>
      </right>
      <top/>
      <bottom style="thin">
        <color rgb="FF000000"/>
      </bottom>
      <diagonal/>
    </border>
    <border>
      <left style="thin">
        <color rgb="FFD9D9D9"/>
      </left>
      <right style="thin">
        <color rgb="FF000000"/>
      </right>
      <top style="thin">
        <color rgb="FF000000"/>
      </top>
      <bottom style="thin">
        <color rgb="FF000000"/>
      </bottom>
      <diagonal/>
    </border>
    <border>
      <left style="thin">
        <color rgb="FFD9D9D9"/>
      </left>
      <right style="thin">
        <color rgb="FF000000"/>
      </right>
      <top style="thin">
        <color rgb="FF000000"/>
      </top>
      <bottom/>
      <diagonal/>
    </border>
    <border>
      <left style="thin">
        <color rgb="FFD9D9D9"/>
      </left>
      <right style="thin">
        <color rgb="FF000000"/>
      </right>
      <top/>
      <bottom style="thin">
        <color rgb="FF000000"/>
      </bottom>
      <diagonal/>
    </border>
    <border>
      <left style="thin">
        <color rgb="FF000000"/>
      </left>
      <right style="thin">
        <color rgb="FF000000"/>
      </right>
      <top style="thin">
        <color rgb="FFD9D9D9"/>
      </top>
      <bottom style="thin">
        <color rgb="FFD9D9D9"/>
      </bottom>
      <diagonal/>
    </border>
    <border>
      <left style="thin">
        <color rgb="FF000000"/>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000000"/>
      </right>
      <top style="thin">
        <color rgb="FFD9D9D9"/>
      </top>
      <bottom style="thin">
        <color rgb="FFD9D9D9"/>
      </bottom>
      <diagonal/>
    </border>
    <border>
      <left style="thin">
        <color rgb="FF000000"/>
      </left>
      <right style="thin">
        <color rgb="FF000000"/>
      </right>
      <top style="thin">
        <color rgb="FFD9D9D9"/>
      </top>
      <bottom style="thin">
        <color rgb="FF000000"/>
      </bottom>
      <diagonal/>
    </border>
    <border>
      <left style="thin">
        <color rgb="FF000000"/>
      </left>
      <right style="thin">
        <color rgb="FFD9D9D9"/>
      </right>
      <top style="thin">
        <color rgb="FFD9D9D9"/>
      </top>
      <bottom style="thin">
        <color rgb="FF000000"/>
      </bottom>
      <diagonal/>
    </border>
    <border>
      <left style="thin">
        <color rgb="FFD9D9D9"/>
      </left>
      <right style="thin">
        <color rgb="FFD9D9D9"/>
      </right>
      <top style="thin">
        <color rgb="FFD9D9D9"/>
      </top>
      <bottom style="thin">
        <color rgb="FF000000"/>
      </bottom>
      <diagonal/>
    </border>
    <border>
      <left style="thin">
        <color rgb="FFD9D9D9"/>
      </left>
      <right style="thin">
        <color rgb="FF000000"/>
      </right>
      <top style="thin">
        <color rgb="FFD9D9D9"/>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style="thin">
        <color rgb="FF000000"/>
      </top>
      <bottom/>
      <diagonal/>
    </border>
  </borders>
  <cellStyleXfs count="19">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xf numFmtId="0" fontId="112" fillId="0" borderId="191" applyNumberFormat="0" applyFill="0" applyAlignment="0" applyProtection="0"/>
  </cellStyleXfs>
  <cellXfs count="1198">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0" fontId="97" fillId="0" borderId="22" xfId="0" applyFont="1" applyBorder="1" applyAlignment="1">
      <alignment horizontal="center" vertical="center"/>
    </xf>
    <xf numFmtId="0" fontId="111" fillId="0" borderId="0" xfId="0" applyFont="1"/>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4" fillId="46" borderId="16" xfId="0" applyFont="1" applyFill="1" applyBorder="1" applyAlignment="1">
      <alignment horizontal="center" vertical="center" readingOrder="1"/>
    </xf>
    <xf numFmtId="0" fontId="114" fillId="46" borderId="192" xfId="0" applyFont="1" applyFill="1" applyBorder="1" applyAlignment="1">
      <alignment horizontal="center" vertical="center" readingOrder="1"/>
    </xf>
    <xf numFmtId="0" fontId="114" fillId="46" borderId="195" xfId="0" applyFont="1" applyFill="1" applyBorder="1" applyAlignment="1">
      <alignment horizontal="center" vertical="center" readingOrder="1"/>
    </xf>
    <xf numFmtId="3" fontId="114" fillId="46" borderId="195" xfId="0" applyNumberFormat="1" applyFont="1" applyFill="1" applyBorder="1" applyAlignment="1">
      <alignment horizontal="center" vertical="center" readingOrder="1"/>
    </xf>
    <xf numFmtId="3" fontId="114" fillId="46" borderId="198" xfId="0" applyNumberFormat="1" applyFont="1" applyFill="1" applyBorder="1" applyAlignment="1">
      <alignment horizontal="center" vertical="center" readingOrder="1"/>
    </xf>
    <xf numFmtId="0" fontId="113" fillId="40" borderId="16" xfId="0" applyFont="1" applyFill="1" applyBorder="1" applyAlignment="1">
      <alignment horizontal="center" vertical="center" readingOrder="1"/>
    </xf>
    <xf numFmtId="0" fontId="114" fillId="46" borderId="198" xfId="0" applyFont="1" applyFill="1" applyBorder="1" applyAlignment="1">
      <alignment horizontal="center" vertical="center" readingOrder="1"/>
    </xf>
    <xf numFmtId="0" fontId="112" fillId="0" borderId="191" xfId="18" applyAlignment="1"/>
    <xf numFmtId="0" fontId="115" fillId="0" borderId="191" xfId="18" applyFont="1" applyAlignment="1"/>
    <xf numFmtId="0" fontId="113" fillId="29" borderId="16" xfId="0" applyFont="1" applyFill="1" applyBorder="1" applyAlignment="1">
      <alignment horizontal="center" vertical="center" readingOrder="1"/>
    </xf>
    <xf numFmtId="0" fontId="116" fillId="42" borderId="201" xfId="0" applyFont="1" applyFill="1" applyBorder="1" applyAlignment="1">
      <alignment horizontal="center" vertical="center" readingOrder="1"/>
    </xf>
    <xf numFmtId="3" fontId="117" fillId="42" borderId="202" xfId="0" applyNumberFormat="1" applyFont="1" applyFill="1" applyBorder="1" applyAlignment="1">
      <alignment horizontal="center" vertical="center"/>
    </xf>
    <xf numFmtId="4" fontId="117" fillId="42" borderId="203" xfId="0" applyNumberFormat="1" applyFont="1" applyFill="1" applyBorder="1" applyAlignment="1">
      <alignment horizontal="center" vertical="center"/>
    </xf>
    <xf numFmtId="3" fontId="117" fillId="42" borderId="203" xfId="0" applyNumberFormat="1" applyFont="1" applyFill="1" applyBorder="1" applyAlignment="1">
      <alignment horizontal="center" vertical="center"/>
    </xf>
    <xf numFmtId="3" fontId="117" fillId="42" borderId="204" xfId="0" applyNumberFormat="1" applyFont="1" applyFill="1" applyBorder="1" applyAlignment="1">
      <alignment horizontal="center" vertical="center"/>
    </xf>
    <xf numFmtId="0" fontId="116" fillId="41" borderId="201" xfId="0" applyFont="1" applyFill="1" applyBorder="1" applyAlignment="1">
      <alignment horizontal="center" vertical="center" readingOrder="1"/>
    </xf>
    <xf numFmtId="3" fontId="117" fillId="41" borderId="202" xfId="0" applyNumberFormat="1" applyFont="1" applyFill="1" applyBorder="1" applyAlignment="1">
      <alignment horizontal="center" vertical="center"/>
    </xf>
    <xf numFmtId="4" fontId="117" fillId="41" borderId="203" xfId="0" applyNumberFormat="1" applyFont="1" applyFill="1" applyBorder="1" applyAlignment="1">
      <alignment horizontal="center" vertical="center"/>
    </xf>
    <xf numFmtId="3" fontId="117" fillId="41" borderId="203" xfId="0" applyNumberFormat="1" applyFont="1" applyFill="1" applyBorder="1" applyAlignment="1">
      <alignment horizontal="center" vertical="center"/>
    </xf>
    <xf numFmtId="3" fontId="117" fillId="41" borderId="204" xfId="0" applyNumberFormat="1" applyFont="1" applyFill="1" applyBorder="1" applyAlignment="1">
      <alignment horizontal="center" vertical="center"/>
    </xf>
    <xf numFmtId="0" fontId="116" fillId="41" borderId="205" xfId="0" applyFont="1" applyFill="1" applyBorder="1" applyAlignment="1">
      <alignment horizontal="center" vertical="center" readingOrder="1"/>
    </xf>
    <xf numFmtId="3" fontId="117" fillId="41" borderId="206" xfId="0" applyNumberFormat="1" applyFont="1" applyFill="1" applyBorder="1" applyAlignment="1">
      <alignment horizontal="center" vertical="center"/>
    </xf>
    <xf numFmtId="4" fontId="117" fillId="41" borderId="207" xfId="0" applyNumberFormat="1" applyFont="1" applyFill="1" applyBorder="1" applyAlignment="1">
      <alignment horizontal="center" vertical="center"/>
    </xf>
    <xf numFmtId="3" fontId="117" fillId="41" borderId="207" xfId="0" applyNumberFormat="1" applyFont="1" applyFill="1" applyBorder="1" applyAlignment="1">
      <alignment horizontal="center" vertical="center"/>
    </xf>
    <xf numFmtId="3" fontId="117" fillId="41" borderId="208" xfId="0" applyNumberFormat="1" applyFont="1" applyFill="1" applyBorder="1" applyAlignment="1">
      <alignment horizontal="center" vertical="center"/>
    </xf>
    <xf numFmtId="0" fontId="118" fillId="40" borderId="16" xfId="0" applyFont="1" applyFill="1" applyBorder="1" applyAlignment="1">
      <alignment horizontal="center" vertical="center" readingOrder="1"/>
    </xf>
    <xf numFmtId="3" fontId="117" fillId="40" borderId="192" xfId="0" applyNumberFormat="1" applyFont="1" applyFill="1" applyBorder="1" applyAlignment="1">
      <alignment horizontal="center" vertical="center"/>
    </xf>
    <xf numFmtId="4" fontId="117" fillId="40" borderId="195" xfId="0" applyNumberFormat="1" applyFont="1" applyFill="1" applyBorder="1" applyAlignment="1">
      <alignment horizontal="center" vertical="center"/>
    </xf>
    <xf numFmtId="3" fontId="117" fillId="40" borderId="195" xfId="0" applyNumberFormat="1" applyFont="1" applyFill="1" applyBorder="1" applyAlignment="1">
      <alignment horizontal="center" vertical="center"/>
    </xf>
    <xf numFmtId="3" fontId="117" fillId="40" borderId="198" xfId="0" applyNumberFormat="1" applyFont="1" applyFill="1" applyBorder="1" applyAlignment="1">
      <alignment horizontal="center" vertical="center"/>
    </xf>
    <xf numFmtId="0" fontId="117" fillId="39" borderId="16" xfId="0" applyFont="1" applyFill="1" applyBorder="1" applyAlignment="1">
      <alignment horizontal="center" vertical="center" wrapText="1"/>
    </xf>
    <xf numFmtId="0" fontId="116" fillId="39" borderId="209" xfId="0" applyFont="1" applyFill="1" applyBorder="1" applyAlignment="1">
      <alignment horizontal="center" vertical="center" wrapText="1" readingOrder="1"/>
    </xf>
    <xf numFmtId="0" fontId="116" fillId="39" borderId="210" xfId="0" applyFont="1" applyFill="1" applyBorder="1" applyAlignment="1">
      <alignment horizontal="center" vertical="center" wrapText="1" readingOrder="1"/>
    </xf>
    <xf numFmtId="0" fontId="116" fillId="39" borderId="211" xfId="0" applyFont="1" applyFill="1" applyBorder="1" applyAlignment="1">
      <alignment horizontal="center" vertical="center" wrapText="1" readingOrder="1"/>
    </xf>
    <xf numFmtId="0" fontId="119" fillId="46" borderId="16" xfId="0" applyFont="1" applyFill="1" applyBorder="1" applyAlignment="1">
      <alignment horizontal="left" vertical="center" wrapText="1" readingOrder="1"/>
    </xf>
    <xf numFmtId="3" fontId="120" fillId="46" borderId="209" xfId="0" applyNumberFormat="1" applyFont="1" applyFill="1" applyBorder="1" applyAlignment="1">
      <alignment horizontal="center" vertical="center" wrapText="1" readingOrder="1"/>
    </xf>
    <xf numFmtId="3" fontId="120" fillId="46" borderId="210" xfId="0" applyNumberFormat="1" applyFont="1" applyFill="1" applyBorder="1" applyAlignment="1">
      <alignment horizontal="center" vertical="center" wrapText="1" readingOrder="1"/>
    </xf>
    <xf numFmtId="3" fontId="120" fillId="46" borderId="211" xfId="0" applyNumberFormat="1" applyFont="1" applyFill="1" applyBorder="1" applyAlignment="1">
      <alignment horizontal="center" vertical="center" wrapText="1" readingOrder="1"/>
    </xf>
    <xf numFmtId="3" fontId="120" fillId="46" borderId="209" xfId="0" applyNumberFormat="1" applyFont="1" applyFill="1" applyBorder="1" applyAlignment="1">
      <alignment horizontal="center" wrapText="1" readingOrder="1"/>
    </xf>
    <xf numFmtId="3" fontId="120" fillId="46" borderId="210" xfId="0" applyNumberFormat="1" applyFont="1" applyFill="1" applyBorder="1" applyAlignment="1">
      <alignment horizontal="center" wrapText="1" readingOrder="1"/>
    </xf>
    <xf numFmtId="3" fontId="120" fillId="46" borderId="211" xfId="0" applyNumberFormat="1" applyFont="1" applyFill="1" applyBorder="1" applyAlignment="1">
      <alignment horizontal="center" wrapText="1" readingOrder="1"/>
    </xf>
    <xf numFmtId="0" fontId="118" fillId="47" borderId="9" xfId="0" applyFont="1" applyFill="1" applyBorder="1" applyAlignment="1">
      <alignment horizontal="left" vertical="center" wrapText="1" readingOrder="1"/>
    </xf>
    <xf numFmtId="3" fontId="117" fillId="47" borderId="183" xfId="0" applyNumberFormat="1" applyFont="1" applyFill="1" applyBorder="1" applyAlignment="1">
      <alignment horizontal="center" vertical="center" wrapText="1"/>
    </xf>
    <xf numFmtId="3" fontId="117" fillId="47" borderId="10" xfId="0" applyNumberFormat="1" applyFont="1" applyFill="1" applyBorder="1" applyAlignment="1">
      <alignment horizontal="center" vertical="center" wrapText="1"/>
    </xf>
    <xf numFmtId="3" fontId="117" fillId="47" borderId="11" xfId="0" applyNumberFormat="1" applyFont="1" applyFill="1" applyBorder="1" applyAlignment="1">
      <alignment horizontal="center" vertical="center" wrapText="1"/>
    </xf>
    <xf numFmtId="0" fontId="121" fillId="48" borderId="185" xfId="0" applyFont="1" applyFill="1" applyBorder="1" applyAlignment="1">
      <alignment horizontal="left" vertical="center" wrapText="1" readingOrder="1"/>
    </xf>
    <xf numFmtId="3" fontId="116" fillId="48" borderId="186" xfId="0" applyNumberFormat="1" applyFont="1" applyFill="1" applyBorder="1" applyAlignment="1">
      <alignment horizontal="center" wrapText="1" readingOrder="1"/>
    </xf>
    <xf numFmtId="3" fontId="116" fillId="48" borderId="0" xfId="0" applyNumberFormat="1" applyFont="1" applyFill="1" applyAlignment="1">
      <alignment horizontal="center" wrapText="1" readingOrder="1"/>
    </xf>
    <xf numFmtId="3" fontId="116" fillId="48" borderId="12" xfId="0" applyNumberFormat="1" applyFont="1" applyFill="1" applyBorder="1" applyAlignment="1">
      <alignment horizontal="center" wrapText="1" readingOrder="1"/>
    </xf>
    <xf numFmtId="0" fontId="121" fillId="48" borderId="13" xfId="0" applyFont="1" applyFill="1" applyBorder="1" applyAlignment="1">
      <alignment horizontal="left" vertical="center" wrapText="1" readingOrder="1"/>
    </xf>
    <xf numFmtId="3" fontId="116" fillId="48" borderId="184" xfId="0" applyNumberFormat="1" applyFont="1" applyFill="1" applyBorder="1" applyAlignment="1">
      <alignment horizontal="center" wrapText="1" readingOrder="1"/>
    </xf>
    <xf numFmtId="3" fontId="116" fillId="48" borderId="14" xfId="0" applyNumberFormat="1" applyFont="1" applyFill="1" applyBorder="1" applyAlignment="1">
      <alignment horizontal="center" wrapText="1" readingOrder="1"/>
    </xf>
    <xf numFmtId="3" fontId="116" fillId="48" borderId="15" xfId="0" applyNumberFormat="1" applyFont="1" applyFill="1" applyBorder="1" applyAlignment="1">
      <alignment horizontal="center" wrapText="1" readingOrder="1"/>
    </xf>
    <xf numFmtId="0" fontId="122" fillId="0" borderId="0" xfId="0" applyFont="1"/>
    <xf numFmtId="9" fontId="120" fillId="46" borderId="209" xfId="2" applyFont="1" applyFill="1" applyBorder="1" applyAlignment="1">
      <alignment horizontal="center" vertical="center" wrapText="1" readingOrder="1"/>
    </xf>
    <xf numFmtId="9" fontId="120" fillId="46" borderId="210" xfId="2" applyFont="1" applyFill="1" applyBorder="1" applyAlignment="1">
      <alignment horizontal="center" vertical="center" wrapText="1" readingOrder="1"/>
    </xf>
    <xf numFmtId="9" fontId="120" fillId="46" borderId="211" xfId="2" applyFont="1" applyFill="1" applyBorder="1" applyAlignment="1">
      <alignment horizontal="center" vertical="center" wrapText="1" readingOrder="1"/>
    </xf>
    <xf numFmtId="9" fontId="120" fillId="46" borderId="209" xfId="2" applyFont="1" applyFill="1" applyBorder="1" applyAlignment="1">
      <alignment horizontal="center" wrapText="1" readingOrder="1"/>
    </xf>
    <xf numFmtId="9" fontId="120" fillId="46" borderId="210" xfId="2" applyFont="1" applyFill="1" applyBorder="1" applyAlignment="1">
      <alignment horizontal="center" wrapText="1" readingOrder="1"/>
    </xf>
    <xf numFmtId="9" fontId="120" fillId="46" borderId="211" xfId="2" applyFont="1" applyFill="1" applyBorder="1" applyAlignment="1">
      <alignment horizontal="center" wrapText="1" readingOrder="1"/>
    </xf>
    <xf numFmtId="9" fontId="117" fillId="47" borderId="183" xfId="2" applyFont="1" applyFill="1" applyBorder="1" applyAlignment="1">
      <alignment horizontal="center" vertical="center" wrapText="1"/>
    </xf>
    <xf numFmtId="9" fontId="117" fillId="47" borderId="10" xfId="2" applyFont="1" applyFill="1" applyBorder="1" applyAlignment="1">
      <alignment horizontal="center" vertical="center" wrapText="1"/>
    </xf>
    <xf numFmtId="9" fontId="117" fillId="47" borderId="11" xfId="2" applyFont="1" applyFill="1" applyBorder="1" applyAlignment="1">
      <alignment horizontal="center" vertical="center" wrapText="1"/>
    </xf>
    <xf numFmtId="9" fontId="116" fillId="48" borderId="186" xfId="2" applyFont="1" applyFill="1" applyBorder="1" applyAlignment="1">
      <alignment horizontal="center" wrapText="1" readingOrder="1"/>
    </xf>
    <xf numFmtId="9" fontId="116" fillId="48" borderId="0" xfId="2" applyFont="1" applyFill="1" applyAlignment="1">
      <alignment horizontal="center" wrapText="1" readingOrder="1"/>
    </xf>
    <xf numFmtId="9" fontId="116" fillId="48" borderId="12" xfId="2" applyFont="1" applyFill="1" applyBorder="1" applyAlignment="1">
      <alignment horizontal="center" wrapText="1" readingOrder="1"/>
    </xf>
    <xf numFmtId="9" fontId="116" fillId="48" borderId="184" xfId="2" applyFont="1" applyFill="1" applyBorder="1" applyAlignment="1">
      <alignment horizontal="center" wrapText="1" readingOrder="1"/>
    </xf>
    <xf numFmtId="9" fontId="116" fillId="48" borderId="14" xfId="2" applyFont="1" applyFill="1" applyBorder="1" applyAlignment="1">
      <alignment horizontal="center" wrapText="1" readingOrder="1"/>
    </xf>
    <xf numFmtId="9" fontId="116" fillId="48" borderId="15" xfId="2" applyFont="1" applyFill="1" applyBorder="1" applyAlignment="1">
      <alignment horizontal="center" wrapText="1" readingOrder="1"/>
    </xf>
    <xf numFmtId="0" fontId="118" fillId="47" borderId="9" xfId="0" applyFont="1" applyFill="1" applyBorder="1" applyAlignment="1">
      <alignment horizontal="left" vertical="center" readingOrder="1"/>
    </xf>
    <xf numFmtId="9" fontId="113" fillId="29" borderId="16" xfId="2" applyFont="1" applyFill="1" applyBorder="1" applyAlignment="1">
      <alignment horizontal="center" vertical="center" readingOrder="1"/>
    </xf>
    <xf numFmtId="0" fontId="116" fillId="39" borderId="212" xfId="0" applyFont="1" applyFill="1" applyBorder="1" applyAlignment="1">
      <alignment horizontal="center" vertical="center" wrapText="1" readingOrder="1"/>
    </xf>
    <xf numFmtId="0" fontId="116" fillId="39" borderId="214" xfId="0" applyFont="1" applyFill="1" applyBorder="1" applyAlignment="1">
      <alignment horizontal="center" vertical="center" wrapText="1" readingOrder="1"/>
    </xf>
    <xf numFmtId="0" fontId="118" fillId="32" borderId="9" xfId="0" applyFont="1" applyFill="1" applyBorder="1" applyAlignment="1">
      <alignment horizontal="left" vertical="center" readingOrder="1"/>
    </xf>
    <xf numFmtId="9" fontId="117" fillId="32" borderId="183" xfId="2" applyFont="1" applyFill="1" applyBorder="1" applyAlignment="1">
      <alignment horizontal="center" vertical="center" wrapText="1"/>
    </xf>
    <xf numFmtId="9" fontId="117" fillId="32" borderId="215" xfId="2" applyFont="1" applyFill="1" applyBorder="1" applyAlignment="1">
      <alignment horizontal="center" vertical="center" wrapText="1"/>
    </xf>
    <xf numFmtId="0" fontId="121" fillId="32" borderId="185" xfId="0" applyFont="1" applyFill="1" applyBorder="1" applyAlignment="1">
      <alignment horizontal="left" vertical="center" wrapText="1" readingOrder="1"/>
    </xf>
    <xf numFmtId="9" fontId="116" fillId="32" borderId="186" xfId="2" applyFont="1" applyFill="1" applyBorder="1" applyAlignment="1">
      <alignment horizontal="center" wrapText="1" readingOrder="1"/>
    </xf>
    <xf numFmtId="9" fontId="116" fillId="32" borderId="112" xfId="2" applyFont="1" applyFill="1" applyBorder="1" applyAlignment="1">
      <alignment horizontal="center" wrapText="1" readingOrder="1"/>
    </xf>
    <xf numFmtId="0" fontId="121" fillId="32" borderId="13" xfId="0" applyFont="1" applyFill="1" applyBorder="1" applyAlignment="1">
      <alignment horizontal="left" vertical="center" wrapText="1" readingOrder="1"/>
    </xf>
    <xf numFmtId="9" fontId="116" fillId="32" borderId="184" xfId="2" applyFont="1" applyFill="1" applyBorder="1" applyAlignment="1">
      <alignment horizontal="center" wrapText="1" readingOrder="1"/>
    </xf>
    <xf numFmtId="9" fontId="116" fillId="32" borderId="127" xfId="2" applyFont="1" applyFill="1" applyBorder="1" applyAlignment="1">
      <alignment horizontal="center" wrapText="1" readingOrder="1"/>
    </xf>
    <xf numFmtId="0" fontId="118" fillId="32" borderId="185" xfId="0" applyFont="1" applyFill="1" applyBorder="1" applyAlignment="1">
      <alignment horizontal="left" vertical="center" readingOrder="1"/>
    </xf>
    <xf numFmtId="9" fontId="117" fillId="32" borderId="186" xfId="2" applyFont="1" applyFill="1" applyBorder="1" applyAlignment="1">
      <alignment horizontal="center" vertical="center" wrapText="1"/>
    </xf>
    <xf numFmtId="9" fontId="117" fillId="32" borderId="112" xfId="2" applyFont="1" applyFill="1" applyBorder="1" applyAlignment="1">
      <alignment horizontal="center" vertical="center" wrapText="1"/>
    </xf>
    <xf numFmtId="3" fontId="117" fillId="32" borderId="213" xfId="2" applyNumberFormat="1" applyFont="1" applyFill="1" applyBorder="1" applyAlignment="1">
      <alignment horizontal="center" vertical="center" wrapText="1"/>
    </xf>
    <xf numFmtId="3" fontId="117" fillId="32" borderId="18" xfId="2" applyNumberFormat="1" applyFont="1" applyFill="1" applyBorder="1" applyAlignment="1">
      <alignment horizontal="center" vertical="center" wrapText="1"/>
    </xf>
    <xf numFmtId="3" fontId="116" fillId="32" borderId="18" xfId="2" applyNumberFormat="1" applyFont="1" applyFill="1" applyBorder="1" applyAlignment="1">
      <alignment horizontal="center" wrapText="1" readingOrder="1"/>
    </xf>
    <xf numFmtId="3" fontId="116" fillId="32" borderId="176" xfId="2" applyNumberFormat="1" applyFont="1" applyFill="1" applyBorder="1" applyAlignment="1">
      <alignment horizontal="center" wrapText="1" readingOrder="1"/>
    </xf>
    <xf numFmtId="4" fontId="117" fillId="32" borderId="213" xfId="2" applyNumberFormat="1" applyFont="1" applyFill="1" applyBorder="1" applyAlignment="1">
      <alignment horizontal="center" vertical="center" wrapText="1"/>
    </xf>
    <xf numFmtId="4" fontId="117" fillId="32" borderId="18" xfId="2" applyNumberFormat="1" applyFont="1" applyFill="1" applyBorder="1" applyAlignment="1">
      <alignment horizontal="center" vertical="center" wrapText="1"/>
    </xf>
    <xf numFmtId="4" fontId="116" fillId="32" borderId="18" xfId="2" applyNumberFormat="1" applyFont="1" applyFill="1" applyBorder="1" applyAlignment="1">
      <alignment horizontal="center" wrapText="1" readingOrder="1"/>
    </xf>
    <xf numFmtId="4" fontId="116" fillId="32" borderId="176" xfId="2" applyNumberFormat="1" applyFont="1" applyFill="1" applyBorder="1" applyAlignment="1">
      <alignment horizontal="center" wrapText="1" readingOrder="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35" fillId="7" borderId="0" xfId="0" applyFont="1" applyFill="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74" fillId="28" borderId="63"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xf numFmtId="0" fontId="118" fillId="39" borderId="209" xfId="0" applyFont="1" applyFill="1" applyBorder="1" applyAlignment="1">
      <alignment horizontal="center" vertical="center" wrapText="1" readingOrder="1"/>
    </xf>
    <xf numFmtId="0" fontId="118" fillId="39" borderId="210" xfId="0" applyFont="1" applyFill="1" applyBorder="1" applyAlignment="1">
      <alignment horizontal="center" vertical="center" wrapText="1" readingOrder="1"/>
    </xf>
    <xf numFmtId="0" fontId="118" fillId="39" borderId="211" xfId="0" applyFont="1" applyFill="1" applyBorder="1" applyAlignment="1">
      <alignment horizontal="center" vertical="center" wrapText="1" readingOrder="1"/>
    </xf>
    <xf numFmtId="0" fontId="113" fillId="39" borderId="196" xfId="0" applyFont="1" applyFill="1" applyBorder="1" applyAlignment="1">
      <alignment horizontal="center" vertical="center" readingOrder="1"/>
    </xf>
    <xf numFmtId="0" fontId="113" fillId="39" borderId="197" xfId="0" applyFont="1" applyFill="1" applyBorder="1" applyAlignment="1">
      <alignment horizontal="center" vertical="center" readingOrder="1"/>
    </xf>
    <xf numFmtId="0" fontId="113" fillId="39" borderId="199" xfId="0" applyFont="1" applyFill="1" applyBorder="1" applyAlignment="1">
      <alignment horizontal="center" vertical="center" readingOrder="1"/>
    </xf>
    <xf numFmtId="0" fontId="113" fillId="39" borderId="200" xfId="0" applyFont="1" applyFill="1" applyBorder="1" applyAlignment="1">
      <alignment horizontal="center" vertical="center" readingOrder="1"/>
    </xf>
    <xf numFmtId="0" fontId="113" fillId="39" borderId="193" xfId="0" applyFont="1" applyFill="1" applyBorder="1" applyAlignment="1">
      <alignment horizontal="center" vertical="center" readingOrder="1"/>
    </xf>
    <xf numFmtId="0" fontId="113" fillId="39" borderId="194" xfId="0" applyFont="1" applyFill="1" applyBorder="1" applyAlignment="1">
      <alignment horizontal="center" vertical="center" readingOrder="1"/>
    </xf>
    <xf numFmtId="0" fontId="113" fillId="39" borderId="9" xfId="0" applyFont="1" applyFill="1" applyBorder="1" applyAlignment="1">
      <alignment horizontal="center" vertical="center" readingOrder="1"/>
    </xf>
    <xf numFmtId="0" fontId="113" fillId="39" borderId="13" xfId="0" applyFont="1" applyFill="1" applyBorder="1" applyAlignment="1">
      <alignment horizontal="center" vertical="center" readingOrder="1"/>
    </xf>
  </cellXfs>
  <cellStyles count="19">
    <cellStyle name="20% - Accent1" xfId="16" builtinId="30"/>
    <cellStyle name="20% - Accent5" xfId="17" builtinId="46"/>
    <cellStyle name="Bad" xfId="13" builtinId="27"/>
    <cellStyle name="Comma" xfId="1" builtinId="3"/>
    <cellStyle name="Comma 3" xfId="14" xr:uid="{C91D5765-F491-4241-AA50-74FF28782F84}"/>
    <cellStyle name="Heading 1" xfId="18" builtinId="16"/>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2.xml"/><Relationship Id="rId20" Type="http://schemas.openxmlformats.org/officeDocument/2006/relationships/worksheet" Target="worksheets/sheet20.xml"/><Relationship Id="rId41" Type="http://schemas.microsoft.com/office/2017/06/relationships/rdRichValue" Target="richData/rdrichvalu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Members</a:t>
            </a:r>
            <a:r>
              <a:rPr lang="en-US" sz="2000" baseline="0"/>
              <a:t> visiting Outpatient more than 10 times (current year)</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P17_ClaimPattern!$D$71</c:f>
              <c:strCache>
                <c:ptCount val="1"/>
                <c:pt idx="0">
                  <c:v>No. of Claimants</c:v>
                </c:pt>
              </c:strCache>
            </c:strRef>
          </c:tx>
          <c:spPr>
            <a:solidFill>
              <a:schemeClr val="accent2"/>
            </a:solidFill>
            <a:ln>
              <a:noFill/>
            </a:ln>
            <a:effectLst/>
          </c:spPr>
          <c:invertIfNegative val="0"/>
          <c:cat>
            <c:multiLvlStrRef>
              <c:f>P17_ClaimPattern!$A$72:$B$102</c:f>
            </c:multiLvlStrRef>
          </c:cat>
          <c:val>
            <c:numRef>
              <c:f>P17_ClaimPattern!$D$72:$D$102</c:f>
              <c:numCache>
                <c:formatCode>#,##0</c:formatCode>
                <c:ptCount val="31"/>
              </c:numCache>
            </c:numRef>
          </c:val>
          <c:extLst>
            <c:ext xmlns:c16="http://schemas.microsoft.com/office/drawing/2014/chart" uri="{C3380CC4-5D6E-409C-BE32-E72D297353CC}">
              <c16:uniqueId val="{00000000-82D2-0346-B2A1-155434EF66C1}"/>
            </c:ext>
          </c:extLst>
        </c:ser>
        <c:dLbls>
          <c:showLegendKey val="0"/>
          <c:showVal val="0"/>
          <c:showCatName val="0"/>
          <c:showSerName val="0"/>
          <c:showPercent val="0"/>
          <c:showBubbleSize val="0"/>
        </c:dLbls>
        <c:gapWidth val="250"/>
        <c:overlap val="-45"/>
        <c:axId val="923420511"/>
        <c:axId val="923686735"/>
      </c:barChart>
      <c:lineChart>
        <c:grouping val="standard"/>
        <c:varyColors val="0"/>
        <c:ser>
          <c:idx val="0"/>
          <c:order val="0"/>
          <c:tx>
            <c:strRef>
              <c:f>P17_ClaimPattern!$G$71</c:f>
              <c:strCache>
                <c:ptCount val="1"/>
                <c:pt idx="0">
                  <c:v>% of Member</c:v>
                </c:pt>
              </c:strCache>
            </c:strRef>
          </c:tx>
          <c:spPr>
            <a:ln w="25400" cap="rnd">
              <a:noFill/>
              <a:round/>
            </a:ln>
            <a:effectLst/>
          </c:spPr>
          <c:marker>
            <c:symbol val="dash"/>
            <c:size val="28"/>
            <c:spPr>
              <a:solidFill>
                <a:srgbClr val="002060"/>
              </a:solidFill>
              <a:ln w="9525">
                <a:solidFill>
                  <a:srgbClr val="002060"/>
                </a:solidFill>
              </a:ln>
              <a:effectLst/>
            </c:spPr>
          </c:marker>
          <c:cat>
            <c:multiLvlStrRef>
              <c:f>P17_ClaimPattern!$A$72:$B$102</c:f>
            </c:multiLvlStrRef>
          </c:cat>
          <c:val>
            <c:numRef>
              <c:f>P17_ClaimPattern!$G$72:$G$102</c:f>
              <c:numCache>
                <c:formatCode>0%</c:formatCode>
                <c:ptCount val="31"/>
              </c:numCache>
            </c:numRef>
          </c:val>
          <c:smooth val="0"/>
          <c:extLst>
            <c:ext xmlns:c16="http://schemas.microsoft.com/office/drawing/2014/chart" uri="{C3380CC4-5D6E-409C-BE32-E72D297353CC}">
              <c16:uniqueId val="{00000001-82D2-0346-B2A1-155434EF66C1}"/>
            </c:ext>
          </c:extLst>
        </c:ser>
        <c:dLbls>
          <c:showLegendKey val="0"/>
          <c:showVal val="0"/>
          <c:showCatName val="0"/>
          <c:showSerName val="0"/>
          <c:showPercent val="0"/>
          <c:showBubbleSize val="0"/>
        </c:dLbls>
        <c:marker val="1"/>
        <c:smooth val="0"/>
        <c:axId val="849960640"/>
        <c:axId val="850055152"/>
      </c:lineChart>
      <c:catAx>
        <c:axId val="92342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686735"/>
        <c:crosses val="autoZero"/>
        <c:auto val="1"/>
        <c:lblAlgn val="ctr"/>
        <c:lblOffset val="100"/>
        <c:noMultiLvlLbl val="0"/>
      </c:catAx>
      <c:valAx>
        <c:axId val="923686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23420511"/>
        <c:crosses val="autoZero"/>
        <c:crossBetween val="between"/>
      </c:valAx>
      <c:valAx>
        <c:axId val="85005515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49960640"/>
        <c:crosses val="max"/>
        <c:crossBetween val="between"/>
      </c:valAx>
      <c:catAx>
        <c:axId val="849960640"/>
        <c:scaling>
          <c:orientation val="minMax"/>
        </c:scaling>
        <c:delete val="1"/>
        <c:axPos val="b"/>
        <c:numFmt formatCode="General" sourceLinked="1"/>
        <c:majorTickMark val="out"/>
        <c:minorTickMark val="none"/>
        <c:tickLblPos val="nextTo"/>
        <c:crossAx val="850055152"/>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11.xml><?xml version="1.0" encoding="utf-8"?>
<xdr:wsDr xmlns:xdr="http://schemas.openxmlformats.org/drawingml/2006/spreadsheetDrawing" xmlns:a="http://schemas.openxmlformats.org/drawingml/2006/main">
  <xdr:twoCellAnchor>
    <xdr:from>
      <xdr:col>7</xdr:col>
      <xdr:colOff>444500</xdr:colOff>
      <xdr:row>70</xdr:row>
      <xdr:rowOff>0</xdr:rowOff>
    </xdr:from>
    <xdr:to>
      <xdr:col>15</xdr:col>
      <xdr:colOff>44450</xdr:colOff>
      <xdr:row>92</xdr:row>
      <xdr:rowOff>215900</xdr:rowOff>
    </xdr:to>
    <xdr:graphicFrame macro="">
      <xdr:nvGraphicFramePr>
        <xdr:cNvPr id="2" name="Chart 1">
          <a:extLst>
            <a:ext uri="{FF2B5EF4-FFF2-40B4-BE49-F238E27FC236}">
              <a16:creationId xmlns:a16="http://schemas.microsoft.com/office/drawing/2014/main" id="{20D393EE-6374-A641-B234-78F5F4A72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refreshError="1"/>
      <sheetData sheetId="1" refreshError="1"/>
      <sheetData sheetId="2" refreshError="1"/>
      <sheetData sheetId="3" refreshError="1"/>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131"/>
      <c r="F5" s="1131"/>
      <c r="G5" s="328"/>
      <c r="H5" s="328"/>
      <c r="I5" s="329"/>
      <c r="J5" s="327"/>
      <c r="K5" s="327"/>
      <c r="L5" s="328"/>
      <c r="M5" s="328"/>
      <c r="N5" s="329"/>
      <c r="Q5" s="330"/>
      <c r="R5" s="332"/>
      <c r="S5" s="332"/>
      <c r="T5" s="333"/>
      <c r="U5" s="1131"/>
      <c r="V5" s="1131"/>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132"/>
      <c r="F9" s="1133"/>
      <c r="G9" s="1133"/>
      <c r="H9" s="1133"/>
      <c r="I9" s="1133"/>
      <c r="J9" s="1132"/>
      <c r="K9" s="1133"/>
      <c r="L9" s="1133"/>
      <c r="M9" s="1133"/>
      <c r="N9" s="1134"/>
      <c r="Q9" s="341"/>
      <c r="R9" s="342"/>
      <c r="S9" s="343"/>
      <c r="T9" s="343"/>
      <c r="U9" s="1132"/>
      <c r="V9" s="1133"/>
      <c r="W9" s="1133"/>
      <c r="X9" s="1133"/>
      <c r="Y9" s="1133"/>
      <c r="Z9" s="1132"/>
      <c r="AA9" s="1133"/>
      <c r="AB9" s="1133"/>
      <c r="AC9" s="1133"/>
      <c r="AD9" s="1134"/>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expression" dxfId="966" priority="146">
      <formula>E9&lt;$D9</formula>
    </cfRule>
    <cfRule type="containsText" dxfId="965" priority="144" operator="containsText" text="na">
      <formula>NOT(ISERROR(SEARCH("na",E9)))</formula>
    </cfRule>
    <cfRule type="expression" dxfId="964" priority="145">
      <formula>E9&gt;$D9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expression" dxfId="961" priority="218">
      <formula>E14&lt;$D14</formula>
    </cfRule>
    <cfRule type="expression" dxfId="960" priority="217">
      <formula>E14&gt;$D14</formula>
    </cfRule>
    <cfRule type="containsText" dxfId="959" priority="216" operator="containsText" text="na">
      <formula>NOT(ISERROR(SEARCH("na",E14)))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expression" dxfId="956" priority="215">
      <formula>E19&lt;$D19</formula>
    </cfRule>
    <cfRule type="expression" dxfId="955" priority="214">
      <formula>E19&gt;$D19</formula>
    </cfRule>
    <cfRule type="containsText" dxfId="954" priority="213" operator="containsText" text="na">
      <formula>NOT(ISERROR(SEARCH("na",E19)))</formula>
    </cfRule>
  </conditionalFormatting>
  <conditionalFormatting sqref="E21:P21">
    <cfRule type="expression" dxfId="953" priority="44">
      <formula>E21&gt;$D21</formula>
    </cfRule>
    <cfRule type="expression" dxfId="952" priority="45">
      <formula>E21&lt;$D21</formula>
    </cfRule>
    <cfRule type="containsText" dxfId="951" priority="43" operator="containsText" text="na">
      <formula>NOT(ISERROR(SEARCH("na",E21)))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expression" dxfId="948" priority="212">
      <formula>E24&lt;$D24</formula>
    </cfRule>
    <cfRule type="containsText" dxfId="947" priority="210" operator="containsText" text="na">
      <formula>NOT(ISERROR(SEARCH("na",E24)))</formula>
    </cfRule>
    <cfRule type="expression" dxfId="946" priority="211">
      <formula>E24&gt;$D24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expression" dxfId="938" priority="206">
      <formula>E33&lt;$D33</formula>
    </cfRule>
    <cfRule type="containsText" dxfId="937" priority="204" operator="containsText" text="na">
      <formula>NOT(ISERROR(SEARCH("na",E33)))</formula>
    </cfRule>
    <cfRule type="expression" dxfId="936" priority="205">
      <formula>E33&gt;$D33</formula>
    </cfRule>
  </conditionalFormatting>
  <conditionalFormatting sqref="E38:P41">
    <cfRule type="expression" dxfId="935" priority="202">
      <formula>E38&gt;$D38</formula>
    </cfRule>
    <cfRule type="expression" dxfId="934" priority="203">
      <formula>E38&lt;$D38</formula>
    </cfRule>
    <cfRule type="containsText" dxfId="933" priority="201" operator="containsText" text="na">
      <formula>NOT(ISERROR(SEARCH("na",E38)))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5" operator="containsText" text="Per Disability Per (Policy) Year">
      <formula>NOT(ISERROR(SEARCH("Per Disability Per (Policy) Year",E44)))</formula>
    </cfRule>
    <cfRule type="containsText" dxfId="928" priority="84" operator="containsText" text="na">
      <formula>NOT(ISERROR(SEARCH("na",E44)))</formula>
    </cfRule>
  </conditionalFormatting>
  <conditionalFormatting sqref="E45:P46">
    <cfRule type="expression" dxfId="927" priority="236">
      <formula>E45&lt;$D45</formula>
    </cfRule>
    <cfRule type="containsText" dxfId="926" priority="235" operator="containsText" text="na">
      <formula>NOT(ISERROR(SEARCH("na",E45)))</formula>
    </cfRule>
    <cfRule type="expression" dxfId="925" priority="234" stopIfTrue="1">
      <formula>E45&gt;$D45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expression" dxfId="921" priority="41">
      <formula>E50&gt;$D50</formula>
    </cfRule>
    <cfRule type="containsText" dxfId="920" priority="40" operator="containsText" text="na">
      <formula>NOT(ISERROR(SEARCH("na",E50)))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expression" dxfId="903" priority="224">
      <formula>E64&lt;$D64</formula>
    </cfRule>
    <cfRule type="expression" dxfId="902" priority="223">
      <formula>E64&gt;$D64</formula>
    </cfRule>
    <cfRule type="containsText" dxfId="901" priority="222" operator="containsText" text="na">
      <formula>NOT(ISERROR(SEARCH("na",E64)))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expression" dxfId="895" priority="196">
      <formula>E69&gt;$D69</formula>
    </cfRule>
    <cfRule type="expression" dxfId="894" priority="197">
      <formula>E69&lt;$D69</formula>
    </cfRule>
    <cfRule type="containsText" dxfId="893" priority="195" operator="containsText" text="na">
      <formula>NOT(ISERROR(SEARCH("na",E69)))</formula>
    </cfRule>
  </conditionalFormatting>
  <conditionalFormatting sqref="E71:P71">
    <cfRule type="expression" dxfId="892" priority="33">
      <formula>E71&lt;$D71</formula>
    </cfRule>
    <cfRule type="expression" dxfId="891" priority="32">
      <formula>E71&gt;$D71</formula>
    </cfRule>
    <cfRule type="containsText" dxfId="890" priority="31" operator="containsText" text="na">
      <formula>NOT(ISERROR(SEARCH("na",E71)))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9" stopIfTrue="1">
      <formula>E81&lt;$D81</formula>
    </cfRule>
    <cfRule type="expression" dxfId="880" priority="68">
      <formula>E81&gt;$D81</formula>
    </cfRule>
  </conditionalFormatting>
  <conditionalFormatting sqref="E82:P82">
    <cfRule type="expression" dxfId="879" priority="191">
      <formula>E82&lt;$D82</formula>
    </cfRule>
    <cfRule type="expression" dxfId="878" priority="190">
      <formula>E82&gt;$D82</formula>
    </cfRule>
  </conditionalFormatting>
  <conditionalFormatting sqref="E83:P83">
    <cfRule type="notContainsText" dxfId="877" priority="75" stopIfTrue="1" operator="notContains" text="Per Disability Per (Policy) Year">
      <formula>ISERROR(SEARCH("Per Disability Per (Policy) Year",E83))</formula>
    </cfRule>
    <cfRule type="containsText" dxfId="876" priority="74" operator="containsText" text="na">
      <formula>NOT(ISERROR(SEARCH("na",E83)))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6" stopIfTrue="1">
      <formula>E87&lt;$D87</formula>
    </cfRule>
    <cfRule type="expression" dxfId="871" priority="65">
      <formula>E87&gt;$D87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4">
      <formula>E90&lt;$D90</formula>
    </cfRule>
    <cfRule type="expression" dxfId="867" priority="133">
      <formula>E90&gt;$D90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3" stopIfTrue="1">
      <formula>E92&lt;$D92</formula>
    </cfRule>
    <cfRule type="expression" dxfId="864" priority="62">
      <formula>E92&gt;$D92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1">
      <formula>E96&lt;$D96</formula>
    </cfRule>
    <cfRule type="expression" dxfId="860" priority="130">
      <formula>E96&gt;$D96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7" stopIfTrue="1">
      <formula>E103&lt;$D103</formula>
    </cfRule>
    <cfRule type="expression" dxfId="850" priority="56">
      <formula>E103&gt;$D103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5">
      <formula>E106&lt;$D106</formula>
    </cfRule>
    <cfRule type="expression" dxfId="846" priority="124">
      <formula>E106&gt;$D106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4" stopIfTrue="1">
      <formula>E108&lt;$D108</formula>
    </cfRule>
    <cfRule type="expression" dxfId="843" priority="53">
      <formula>E108&gt;$D108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9">
      <formula>E114&lt;$D114</formula>
    </cfRule>
    <cfRule type="expression" dxfId="834" priority="8">
      <formula>E114&gt;$D114</formula>
    </cfRule>
  </conditionalFormatting>
  <conditionalFormatting sqref="E116:P117">
    <cfRule type="expression" dxfId="833" priority="116">
      <formula>E116&lt;$D116</formula>
    </cfRule>
    <cfRule type="expression" dxfId="832" priority="115">
      <formula>E116&gt;$D116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8" stopIfTrue="1">
      <formula>E118&lt;$D118</formula>
    </cfRule>
    <cfRule type="expression" dxfId="829" priority="47">
      <formula>E118&gt;$D118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expression" dxfId="826" priority="15">
      <formula>E121&lt;$D121</formula>
    </cfRule>
    <cfRule type="expression" dxfId="825" priority="14">
      <formula>E121&gt;$D121</formula>
    </cfRule>
    <cfRule type="containsText" dxfId="824" priority="13" operator="containsText" text="na">
      <formula>NOT(ISERROR(SEARCH("na",E121)))</formula>
    </cfRule>
  </conditionalFormatting>
  <conditionalFormatting sqref="E123:P124">
    <cfRule type="containsText" dxfId="823" priority="111" operator="containsText" text="na">
      <formula>NOT(ISERROR(SEARCH("na",E123)))</formula>
    </cfRule>
    <cfRule type="expression" dxfId="822" priority="113">
      <formula>E123&lt;$D123</formula>
    </cfRule>
    <cfRule type="expression" dxfId="821" priority="112">
      <formula>E123&gt;$D123</formula>
    </cfRule>
  </conditionalFormatting>
  <conditionalFormatting sqref="E126:P127">
    <cfRule type="expression" dxfId="820" priority="109">
      <formula>E126&gt;$D126</formula>
    </cfRule>
    <cfRule type="expression" dxfId="819" priority="110">
      <formula>E126&lt;$D126</formula>
    </cfRule>
    <cfRule type="containsText" dxfId="818" priority="108" operator="containsText" text="na">
      <formula>NOT(ISERROR(SEARCH("na",E126)))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expression" dxfId="814" priority="103">
      <formula>E132&gt;$D132</formula>
    </cfRule>
    <cfRule type="expression" dxfId="813" priority="104">
      <formula>E132&lt;$D132</formula>
    </cfRule>
    <cfRule type="containsText" dxfId="812" priority="102" operator="containsText" text="na">
      <formula>NOT(ISERROR(SEARCH("na",E132)))</formula>
    </cfRule>
  </conditionalFormatting>
  <conditionalFormatting sqref="E135:P136">
    <cfRule type="expression" dxfId="811" priority="101">
      <formula>E135&lt;$D135</formula>
    </cfRule>
    <cfRule type="expression" dxfId="810" priority="100">
      <formula>E135&gt;$D135</formula>
    </cfRule>
    <cfRule type="containsText" dxfId="809" priority="99" operator="containsText" text="na">
      <formula>NOT(ISERROR(SEARCH("na",E135)))</formula>
    </cfRule>
  </conditionalFormatting>
  <conditionalFormatting sqref="E139:P140">
    <cfRule type="expression" dxfId="808" priority="98">
      <formula>E139&lt;$D139</formula>
    </cfRule>
    <cfRule type="expression" dxfId="807" priority="97">
      <formula>E139&gt;$D139</formula>
    </cfRule>
    <cfRule type="containsText" dxfId="806" priority="96" operator="containsText" text="na">
      <formula>NOT(ISERROR(SEARCH("na",E139)))</formula>
    </cfRule>
  </conditionalFormatting>
  <conditionalFormatting sqref="E141:P141">
    <cfRule type="containsText" dxfId="805" priority="73" operator="containsText" text="Per Disability Per (Policy) Year">
      <formula>NOT(ISERROR(SEARCH("Per Disability Per (Policy) Year",E141)))</formula>
    </cfRule>
    <cfRule type="containsText" dxfId="804" priority="72" operator="containsText" text="na">
      <formula>NOT(ISERROR(SEARCH("na",E141)))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expression" dxfId="800" priority="149">
      <formula>E153&lt;$D153</formula>
    </cfRule>
    <cfRule type="expression" dxfId="799" priority="148">
      <formula>E153&gt;$D153</formula>
    </cfRule>
    <cfRule type="containsText" dxfId="798"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expression" dxfId="791" priority="149">
      <formula>E9&lt;$D9</formula>
    </cfRule>
    <cfRule type="expression" dxfId="790" priority="148">
      <formula>E9&gt;$D9</formula>
    </cfRule>
    <cfRule type="containsText" dxfId="789" priority="147" operator="containsText" text="na">
      <formula>NOT(ISERROR(SEARCH("na",E9)))</formula>
    </cfRule>
  </conditionalFormatting>
  <conditionalFormatting sqref="E11:P11">
    <cfRule type="containsText" dxfId="788" priority="101" operator="containsText" text="Per Disability Per (Policy) Year">
      <formula>NOT(ISERROR(SEARCH("Per Disability Per (Policy) Year",E11)))</formula>
    </cfRule>
    <cfRule type="containsText" dxfId="787" priority="100" operator="containsText" text="na">
      <formula>NOT(ISERROR(SEARCH("na",E11)))</formula>
    </cfRule>
  </conditionalFormatting>
  <conditionalFormatting sqref="E14:P14">
    <cfRule type="expression" dxfId="786" priority="221">
      <formula>E14&lt;$D14</formula>
    </cfRule>
    <cfRule type="expression" dxfId="785" priority="220">
      <formula>E14&gt;$D14</formula>
    </cfRule>
    <cfRule type="containsText" dxfId="784" priority="219" operator="containsText" text="na">
      <formula>NOT(ISERROR(SEARCH("na",E14)))</formula>
    </cfRule>
  </conditionalFormatting>
  <conditionalFormatting sqref="E17:P17">
    <cfRule type="containsText" dxfId="783" priority="99" operator="containsText" text="Per Disability Per (Policy) Year">
      <formula>NOT(ISERROR(SEARCH("Per Disability Per (Policy) Year",E17)))</formula>
    </cfRule>
    <cfRule type="containsText" dxfId="782" priority="98" operator="containsText" text="na">
      <formula>NOT(ISERROR(SEARCH("na",E17)))</formula>
    </cfRule>
  </conditionalFormatting>
  <conditionalFormatting sqref="E19:P19">
    <cfRule type="expression" dxfId="781" priority="218">
      <formula>E19&lt;$D19</formula>
    </cfRule>
    <cfRule type="expression" dxfId="780" priority="217">
      <formula>E19&gt;$D19</formula>
    </cfRule>
    <cfRule type="containsText" dxfId="779" priority="216" operator="containsText" text="na">
      <formula>NOT(ISERROR(SEARCH("na",E19)))</formula>
    </cfRule>
  </conditionalFormatting>
  <conditionalFormatting sqref="E21:P21">
    <cfRule type="containsText" dxfId="778" priority="49" operator="containsText" text="na">
      <formula>NOT(ISERROR(SEARCH("na",E21)))</formula>
    </cfRule>
    <cfRule type="expression" dxfId="777" priority="51">
      <formula>E21&lt;$D21</formula>
    </cfRule>
    <cfRule type="expression" dxfId="776" priority="50">
      <formula>E21&gt;$D21</formula>
    </cfRule>
  </conditionalFormatting>
  <conditionalFormatting sqref="E22:P22">
    <cfRule type="containsText" dxfId="775" priority="97" operator="containsText" text="Per Disability Per (Policy) Year">
      <formula>NOT(ISERROR(SEARCH("Per Disability Per (Policy) Year",E22)))</formula>
    </cfRule>
    <cfRule type="containsText" dxfId="774" priority="96" operator="containsText" text="na">
      <formula>NOT(ISERROR(SEARCH("na",E22)))</formula>
    </cfRule>
  </conditionalFormatting>
  <conditionalFormatting sqref="E24:P24">
    <cfRule type="expression" dxfId="773" priority="214">
      <formula>E24&gt;$D24</formula>
    </cfRule>
    <cfRule type="expression" dxfId="772" priority="215">
      <formula>E24&lt;$D24</formula>
    </cfRule>
    <cfRule type="containsText" dxfId="771" priority="213" operator="containsText" text="na">
      <formula>NOT(ISERROR(SEARCH("na",E24)))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3" operator="containsText" text="Per Disability Per (Policy) Year">
      <formula>NOT(ISERROR(SEARCH("Per Disability Per (Policy) Year",E27)))</formula>
    </cfRule>
    <cfRule type="containsText" dxfId="767" priority="92" operator="containsText" text="na">
      <formula>NOT(ISERROR(SEARCH("na",E27)))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expression" dxfId="763" priority="208">
      <formula>E33&gt;$D33</formula>
    </cfRule>
    <cfRule type="expression" dxfId="762" priority="209">
      <formula>E33&lt;$D33</formula>
    </cfRule>
    <cfRule type="containsText" dxfId="761" priority="207" operator="containsText" text="na">
      <formula>NOT(ISERROR(SEARCH("na",E33)))</formula>
    </cfRule>
  </conditionalFormatting>
  <conditionalFormatting sqref="E38:P41">
    <cfRule type="expression" dxfId="760" priority="206">
      <formula>E38&lt;$D38</formula>
    </cfRule>
    <cfRule type="expression" dxfId="759" priority="205">
      <formula>E38&gt;$D38</formula>
    </cfRule>
    <cfRule type="containsText" dxfId="758" priority="204" operator="containsText" text="na">
      <formula>NOT(ISERROR(SEARCH("na",E38)))</formula>
    </cfRule>
  </conditionalFormatting>
  <conditionalFormatting sqref="E43:P43">
    <cfRule type="expression" dxfId="757" priority="203">
      <formula>E43&lt;$D43</formula>
    </cfRule>
    <cfRule type="containsText" dxfId="756" priority="201" operator="containsText" text="na">
      <formula>NOT(ISERROR(SEARCH("na",E43)))</formula>
    </cfRule>
    <cfRule type="expression" dxfId="755" priority="202">
      <formula>E43&gt;$D43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containsText" dxfId="752" priority="238" operator="containsText" text="na">
      <formula>NOT(ISERROR(SEARCH("na",E45)))</formula>
    </cfRule>
    <cfRule type="expression" dxfId="751" priority="237" stopIfTrue="1">
      <formula>E45&gt;$D45</formula>
    </cfRule>
    <cfRule type="expression" dxfId="750" priority="239">
      <formula>E45&lt;$D45</formula>
    </cfRule>
  </conditionalFormatting>
  <conditionalFormatting sqref="E48:P48">
    <cfRule type="expression" dxfId="749" priority="233">
      <formula>E48&lt;$D48</formula>
    </cfRule>
    <cfRule type="expression" dxfId="748" priority="232">
      <formula>E48&gt;$D48</formula>
    </cfRule>
    <cfRule type="containsText" dxfId="747" priority="231" operator="containsText" text="na">
      <formula>NOT(ISERROR(SEARCH("na",E48)))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expression" dxfId="741" priority="230">
      <formula>E53&lt;$D53</formula>
    </cfRule>
    <cfRule type="expression" dxfId="740" priority="229">
      <formula>E53&gt;$D53</formula>
    </cfRule>
    <cfRule type="containsText" dxfId="739" priority="228" operator="containsText" text="na">
      <formula>NOT(ISERROR(SEARCH("na",E53)))</formula>
    </cfRule>
  </conditionalFormatting>
  <conditionalFormatting sqref="E55:P55">
    <cfRule type="expression" dxfId="738" priority="45">
      <formula>E55&lt;$D55</formula>
    </cfRule>
    <cfRule type="expression" dxfId="737" priority="44">
      <formula>E55&gt;$D55</formula>
    </cfRule>
    <cfRule type="containsText" dxfId="736" priority="43" operator="containsText" text="na">
      <formula>NOT(ISERROR(SEARCH("na",E55)))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6">
      <formula>E59&lt;$D59</formula>
    </cfRule>
    <cfRule type="expression" dxfId="731" priority="235">
      <formula>E59&gt;$D59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7">
      <formula>E64&lt;$D64</formula>
    </cfRule>
    <cfRule type="expression" dxfId="726" priority="226">
      <formula>E64&gt;$D64</formula>
    </cfRule>
  </conditionalFormatting>
  <conditionalFormatting sqref="E66:P66">
    <cfRule type="expression" dxfId="725" priority="42">
      <formula>E66&lt;$D66</formula>
    </cfRule>
    <cfRule type="expression" dxfId="724" priority="41">
      <formula>E66&gt;$D66</formula>
    </cfRule>
    <cfRule type="containsText" dxfId="723" priority="40" operator="containsText" text="na">
      <formula>NOT(ISERROR(SEARCH("na",E66)))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expression" dxfId="720" priority="199">
      <formula>E69&gt;$D69</formula>
    </cfRule>
    <cfRule type="containsText" dxfId="719" priority="198" operator="containsText" text="na">
      <formula>NOT(ISERROR(SEARCH("na",E69)))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3" operator="containsText" text="Per Disability Per (Policy) Year">
      <formula>NOT(ISERROR(SEARCH("Per Disability Per (Policy) Year",E72)))</formula>
    </cfRule>
    <cfRule type="containsText" dxfId="713" priority="82" operator="containsText" text="na">
      <formula>NOT(ISERROR(SEARCH("na",E72)))</formula>
    </cfRule>
  </conditionalFormatting>
  <conditionalFormatting sqref="E76:P77">
    <cfRule type="expression" dxfId="712" priority="146">
      <formula>E76&lt;$D76</formula>
    </cfRule>
    <cfRule type="expression" dxfId="711" priority="145">
      <formula>E76&gt;$D76</formula>
    </cfRule>
    <cfRule type="containsText" dxfId="710" priority="144" operator="containsText" text="na">
      <formula>NOT(ISERROR(SEARCH("na",E76)))</formula>
    </cfRule>
  </conditionalFormatting>
  <conditionalFormatting sqref="E80:P80">
    <cfRule type="expression" dxfId="709" priority="143">
      <formula>E80&lt;$D80</formula>
    </cfRule>
    <cfRule type="expression" dxfId="708" priority="142">
      <formula>E80&gt;$D80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5" stopIfTrue="1">
      <formula>E81&lt;$D81</formula>
    </cfRule>
    <cfRule type="expression" dxfId="705" priority="74">
      <formula>E81&gt;$D81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notContainsText" dxfId="702" priority="81" stopIfTrue="1" operator="notContains" text="Per Disability Per (Policy) Year">
      <formula>ISERROR(SEARCH("Per Disability Per (Policy) Year",E83))</formula>
    </cfRule>
    <cfRule type="containsText" dxfId="701" priority="80" operator="containsText" text="na">
      <formula>NOT(ISERROR(SEARCH("na",E83)))</formula>
    </cfRule>
  </conditionalFormatting>
  <conditionalFormatting sqref="E85:P86">
    <cfRule type="expression" dxfId="700" priority="140">
      <formula>E85&lt;$D85</formula>
    </cfRule>
    <cfRule type="expression" dxfId="699" priority="139">
      <formula>E85&gt;$D85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2" stopIfTrue="1">
      <formula>E87&lt;$D87</formula>
    </cfRule>
    <cfRule type="expression" dxfId="696" priority="71">
      <formula>E87&gt;$D87</formula>
    </cfRule>
  </conditionalFormatting>
  <conditionalFormatting sqref="E88:P88">
    <cfRule type="expression" dxfId="695" priority="36">
      <formula>E88&lt;$D88</formula>
    </cfRule>
    <cfRule type="expression" dxfId="694" priority="35">
      <formula>E88&gt;$D88</formula>
    </cfRule>
  </conditionalFormatting>
  <conditionalFormatting sqref="E90:P91">
    <cfRule type="expression" dxfId="693" priority="137">
      <formula>E90&lt;$D90</formula>
    </cfRule>
    <cfRule type="expression" dxfId="692" priority="136">
      <formula>E90&gt;$D90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3">
      <formula>E93&lt;$D93</formula>
    </cfRule>
    <cfRule type="expression" dxfId="687" priority="32">
      <formula>E93&gt;$D93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6" stopIfTrue="1">
      <formula>E98&lt;$D98</formula>
    </cfRule>
    <cfRule type="expression" dxfId="682" priority="65">
      <formula>E98&gt;$D98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1">
      <formula>E101&lt;$D101</formula>
    </cfRule>
    <cfRule type="expression" dxfId="678" priority="130">
      <formula>E101&gt;$D101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7">
      <formula>E104&lt;$D104</formula>
    </cfRule>
    <cfRule type="expression" dxfId="673" priority="26">
      <formula>E104&gt;$D104</formula>
    </cfRule>
  </conditionalFormatting>
  <conditionalFormatting sqref="E106:P107">
    <cfRule type="expression" dxfId="672" priority="128">
      <formula>E106&lt;$D106</formula>
    </cfRule>
    <cfRule type="expression" dxfId="671" priority="127">
      <formula>E106&gt;$D106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2">
      <formula>E109&lt;$D109</formula>
    </cfRule>
    <cfRule type="expression" dxfId="666" priority="11">
      <formula>E109&gt;$D109</formula>
    </cfRule>
  </conditionalFormatting>
  <conditionalFormatting sqref="E111:P112">
    <cfRule type="expression" dxfId="665" priority="125">
      <formula>E111&lt;$D111</formula>
    </cfRule>
    <cfRule type="expression" dxfId="664" priority="124">
      <formula>E111&gt;$D111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8">
      <formula>E114&lt;$D114</formula>
    </cfRule>
    <cfRule type="expression" dxfId="659" priority="17">
      <formula>E114&gt;$D114</formula>
    </cfRule>
  </conditionalFormatting>
  <conditionalFormatting sqref="E116:P117">
    <cfRule type="expression" dxfId="658" priority="122">
      <formula>E116&lt;$D116</formula>
    </cfRule>
    <cfRule type="expression" dxfId="657" priority="121">
      <formula>E116&gt;$D116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4">
      <formula>E121&lt;$D121</formula>
    </cfRule>
    <cfRule type="expression" dxfId="649" priority="23">
      <formula>E121&gt;$D121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expression" dxfId="636" priority="106">
      <formula>E135&gt;$D135</formula>
    </cfRule>
    <cfRule type="expression" dxfId="635" priority="107">
      <formula>E135&lt;$D135</formula>
    </cfRule>
    <cfRule type="containsText" dxfId="634" priority="105" operator="containsText" text="na">
      <formula>NOT(ISERROR(SEARCH("na",E135)))</formula>
    </cfRule>
  </conditionalFormatting>
  <conditionalFormatting sqref="E139:P140">
    <cfRule type="expression" dxfId="633" priority="104">
      <formula>E139&lt;$D139</formula>
    </cfRule>
    <cfRule type="expression" dxfId="632" priority="103">
      <formula>E139&gt;$D139</formula>
    </cfRule>
    <cfRule type="containsText" dxfId="631" priority="102" operator="containsText" text="na">
      <formula>NOT(ISERROR(SEARCH("na",E139)))</formula>
    </cfRule>
  </conditionalFormatting>
  <conditionalFormatting sqref="E141:P141">
    <cfRule type="containsText" dxfId="630" priority="79" operator="containsText" text="Per Disability Per (Policy) Year">
      <formula>NOT(ISERROR(SEARCH("Per Disability Per (Policy) Year",E141)))</formula>
    </cfRule>
    <cfRule type="containsText" dxfId="629" priority="78" operator="containsText" text="na">
      <formula>NOT(ISERROR(SEARCH("na",E141)))</formula>
    </cfRule>
  </conditionalFormatting>
  <conditionalFormatting sqref="E143:P143">
    <cfRule type="expression" dxfId="628" priority="21">
      <formula>E143&lt;$D143</formula>
    </cfRule>
    <cfRule type="expression" dxfId="627" priority="20">
      <formula>E143&gt;$D143</formula>
    </cfRule>
    <cfRule type="containsText" dxfId="626" priority="19" operator="containsText" text="na">
      <formula>NOT(ISERROR(SEARCH("na",E143)))</formula>
    </cfRule>
  </conditionalFormatting>
  <conditionalFormatting sqref="E153:P155">
    <cfRule type="expression" dxfId="625" priority="152">
      <formula>E153&lt;$D153</formula>
    </cfRule>
    <cfRule type="expression" dxfId="624" priority="151">
      <formula>E153&gt;$D153</formula>
    </cfRule>
    <cfRule type="containsText" dxfId="623"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expression" dxfId="613" priority="151">
      <formula>E9&lt;$D9</formula>
    </cfRule>
    <cfRule type="expression" dxfId="612" priority="150">
      <formula>E9&gt;$D9</formula>
    </cfRule>
    <cfRule type="containsText" dxfId="611" priority="149" operator="containsText" text="na">
      <formula>NOT(ISERROR(SEARCH("na",E9)))</formula>
    </cfRule>
  </conditionalFormatting>
  <conditionalFormatting sqref="E11:P11">
    <cfRule type="notContainsText" dxfId="610" priority="103" stopIfTrue="1" operator="notContains" text="Per Disability Per (Policy) Year">
      <formula>ISERROR(SEARCH("Per Disability Per (Policy) Year",E11))</formula>
    </cfRule>
    <cfRule type="containsText" dxfId="609" priority="102" operator="containsText" text="na">
      <formula>NOT(ISERROR(SEARCH("na",E11)))</formula>
    </cfRule>
  </conditionalFormatting>
  <conditionalFormatting sqref="E14:P14">
    <cfRule type="expression" dxfId="608" priority="223">
      <formula>E14&lt;$D14</formula>
    </cfRule>
    <cfRule type="expression" dxfId="607" priority="222">
      <formula>E14&gt;$D14</formula>
    </cfRule>
    <cfRule type="containsText" dxfId="606" priority="221" operator="containsText" text="na">
      <formula>NOT(ISERROR(SEARCH("na",E14)))</formula>
    </cfRule>
  </conditionalFormatting>
  <conditionalFormatting sqref="E17:P17">
    <cfRule type="containsText" dxfId="605" priority="101" operator="containsText" text="Per Disability Per (Policy) Year">
      <formula>NOT(ISERROR(SEARCH("Per Disability Per (Policy) Year",E17)))</formula>
    </cfRule>
    <cfRule type="containsText" dxfId="604" priority="100" operator="containsText" text="na">
      <formula>NOT(ISERROR(SEARCH("na",E17)))</formula>
    </cfRule>
  </conditionalFormatting>
  <conditionalFormatting sqref="E19:P19">
    <cfRule type="expression" dxfId="603" priority="220">
      <formula>E19&lt;$D19</formula>
    </cfRule>
    <cfRule type="expression" dxfId="602" priority="219">
      <formula>E19&gt;$D19</formula>
    </cfRule>
    <cfRule type="containsText" dxfId="601" priority="218" operator="containsText" text="na">
      <formula>NOT(ISERROR(SEARCH("na",E19)))</formula>
    </cfRule>
  </conditionalFormatting>
  <conditionalFormatting sqref="E21:P21">
    <cfRule type="containsText" dxfId="600" priority="51" operator="containsText" text="na">
      <formula>NOT(ISERROR(SEARCH("na",E21)))</formula>
    </cfRule>
    <cfRule type="expression" dxfId="599" priority="53">
      <formula>E21&lt;$D21</formula>
    </cfRule>
    <cfRule type="expression" dxfId="598" priority="52">
      <formula>E21&gt;$D21</formula>
    </cfRule>
  </conditionalFormatting>
  <conditionalFormatting sqref="E22:P22">
    <cfRule type="containsText" dxfId="597" priority="99" operator="containsText" text="Per Disability Per (Policy) Year">
      <formula>NOT(ISERROR(SEARCH("Per Disability Per (Policy) Year",E22)))</formula>
    </cfRule>
    <cfRule type="containsText" dxfId="596" priority="98" operator="containsText" text="na">
      <formula>NOT(ISERROR(SEARCH("na",E22)))</formula>
    </cfRule>
  </conditionalFormatting>
  <conditionalFormatting sqref="E24:P24">
    <cfRule type="expression" dxfId="595" priority="216">
      <formula>E24&gt;$D24</formula>
    </cfRule>
    <cfRule type="containsText" dxfId="594" priority="215" operator="containsText" text="na">
      <formula>NOT(ISERROR(SEARCH("na",E24)))</formula>
    </cfRule>
    <cfRule type="expression" dxfId="593" priority="217">
      <formula>E24&lt;$D24</formula>
    </cfRule>
  </conditionalFormatting>
  <conditionalFormatting sqref="E25:P25">
    <cfRule type="containsText" dxfId="592" priority="97" operator="containsText" text="Per Disability Per (Policy) Year">
      <formula>NOT(ISERROR(SEARCH("Per Disability Per (Policy) Year",E25)))</formula>
    </cfRule>
    <cfRule type="containsText" dxfId="591" priority="96" operator="containsText" text="na">
      <formula>NOT(ISERROR(SEARCH("na",E25)))</formula>
    </cfRule>
  </conditionalFormatting>
  <conditionalFormatting sqref="E27:P27">
    <cfRule type="notContainsText" dxfId="590" priority="95" stopIfTrue="1" operator="notContains" text="Per Disability Per (Policy) Year">
      <formula>ISERROR(SEARCH("Per Disability Per (Policy) Year",E27))</formula>
    </cfRule>
    <cfRule type="containsText" dxfId="589" priority="94" operator="containsText" text="na">
      <formula>NOT(ISERROR(SEARCH("na",E27)))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expression" dxfId="582" priority="207">
      <formula>E38&gt;$D38</formula>
    </cfRule>
    <cfRule type="containsText" dxfId="581" priority="206" operator="containsText" text="na">
      <formula>NOT(ISERROR(SEARCH("na",E38)))</formula>
    </cfRule>
    <cfRule type="expression" dxfId="580" priority="208">
      <formula>E38&lt;$D38</formula>
    </cfRule>
  </conditionalFormatting>
  <conditionalFormatting sqref="E43:P43">
    <cfRule type="expression" dxfId="579" priority="205">
      <formula>E43&lt;$D43</formula>
    </cfRule>
    <cfRule type="expression" dxfId="578" priority="204">
      <formula>E43&gt;$D43</formula>
    </cfRule>
    <cfRule type="containsText" dxfId="577" priority="203" operator="containsText" text="na">
      <formula>NOT(ISERROR(SEARCH("na",E43)))</formula>
    </cfRule>
  </conditionalFormatting>
  <conditionalFormatting sqref="E44:P44">
    <cfRule type="containsText" dxfId="576" priority="93" operator="containsText" text="Per Disability Per (Policy) Year">
      <formula>NOT(ISERROR(SEARCH("Per Disability Per (Policy) Year",E44)))</formula>
    </cfRule>
    <cfRule type="containsText" dxfId="575" priority="92" operator="containsText" text="na">
      <formula>NOT(ISERROR(SEARCH("na",E44)))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expression" dxfId="571" priority="234">
      <formula>E48&gt;$D48</formula>
    </cfRule>
    <cfRule type="containsText" dxfId="570" priority="233" operator="containsText" text="na">
      <formula>NOT(ISERROR(SEARCH("na",E48)))</formula>
    </cfRule>
    <cfRule type="expression" dxfId="569" priority="235">
      <formula>E48&lt;$D48</formula>
    </cfRule>
  </conditionalFormatting>
  <conditionalFormatting sqref="E49:P49">
    <cfRule type="notContainsText" dxfId="568" priority="11" stopIfTrue="1" operator="notContains" text="Per Disability Per (Policy) Year">
      <formula>ISERROR(SEARCH("Per Disability Per (Policy) Year",E49))</formula>
    </cfRule>
    <cfRule type="containsText" dxfId="567" priority="10" operator="containsText" text="na">
      <formula>NOT(ISERROR(SEARCH("na",E49)))</formula>
    </cfRule>
  </conditionalFormatting>
  <conditionalFormatting sqref="E50:P50">
    <cfRule type="expression" dxfId="566" priority="50">
      <formula>E50&lt;$D50</formula>
    </cfRule>
    <cfRule type="expression" dxfId="565" priority="49">
      <formula>E50&gt;$D50</formula>
    </cfRule>
    <cfRule type="containsText" dxfId="564" priority="48" operator="containsText" text="na">
      <formula>NOT(ISERROR(SEARCH("na",E50)))</formula>
    </cfRule>
  </conditionalFormatting>
  <conditionalFormatting sqref="E51:P51">
    <cfRule type="containsText" dxfId="563" priority="91" operator="containsText" text="Per Disability Per (Policy) Year">
      <formula>NOT(ISERROR(SEARCH("Per Disability Per (Policy) Year",E51)))</formula>
    </cfRule>
    <cfRule type="containsText" dxfId="562" priority="90" operator="containsText" text="na">
      <formula>NOT(ISERROR(SEARCH("na",E51)))</formula>
    </cfRule>
  </conditionalFormatting>
  <conditionalFormatting sqref="E53:P53">
    <cfRule type="expression" dxfId="561" priority="232">
      <formula>E53&lt;$D53</formula>
    </cfRule>
    <cfRule type="expression" dxfId="560" priority="231">
      <formula>E53&gt;$D53</formula>
    </cfRule>
    <cfRule type="containsText" dxfId="559" priority="230" operator="containsText" text="na">
      <formula>NOT(ISERROR(SEARCH("na",E53)))</formula>
    </cfRule>
  </conditionalFormatting>
  <conditionalFormatting sqref="E55:P55">
    <cfRule type="expression" dxfId="558" priority="47">
      <formula>E55&lt;$D55</formula>
    </cfRule>
    <cfRule type="expression" dxfId="557" priority="46">
      <formula>E55&gt;$D55</formula>
    </cfRule>
    <cfRule type="containsText" dxfId="556" priority="45" operator="containsText" text="na">
      <formula>NOT(ISERROR(SEARCH("na",E55)))</formula>
    </cfRule>
  </conditionalFormatting>
  <conditionalFormatting sqref="E56:P56">
    <cfRule type="containsText" dxfId="555" priority="89" operator="containsText" text="Per Disability Per (Policy) Year">
      <formula>NOT(ISERROR(SEARCH("Per Disability Per (Policy) Year",E56)))</formula>
    </cfRule>
    <cfRule type="containsText" dxfId="554" priority="88" operator="containsText" text="na">
      <formula>NOT(ISERROR(SEARCH("na",E56)))</formula>
    </cfRule>
  </conditionalFormatting>
  <conditionalFormatting sqref="E59:P59">
    <cfRule type="containsText" dxfId="553" priority="236" operator="containsText" text="na">
      <formula>NOT(ISERROR(SEARCH("na",E59)))</formula>
    </cfRule>
    <cfRule type="expression" dxfId="552" priority="238">
      <formula>E59&lt;$D59</formula>
    </cfRule>
    <cfRule type="expression" dxfId="551" priority="237">
      <formula>E59&gt;$D59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expression" dxfId="548" priority="229">
      <formula>E64&lt;$D64</formula>
    </cfRule>
    <cfRule type="expression" dxfId="547" priority="228">
      <formula>E64&gt;$D64</formula>
    </cfRule>
    <cfRule type="containsText" dxfId="546" priority="227" operator="containsText" text="na">
      <formula>NOT(ISERROR(SEARCH("na",E64)))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expression" dxfId="540" priority="202">
      <formula>E69&lt;$D69</formula>
    </cfRule>
    <cfRule type="expression" dxfId="539" priority="201">
      <formula>E69&gt;$D69</formula>
    </cfRule>
    <cfRule type="containsText" dxfId="538" priority="200" operator="containsText" text="na">
      <formula>NOT(ISERROR(SEARCH("na",E69)))</formula>
    </cfRule>
  </conditionalFormatting>
  <conditionalFormatting sqref="E71:P71">
    <cfRule type="expression" dxfId="537" priority="40">
      <formula>E71&gt;$D71</formula>
    </cfRule>
    <cfRule type="containsText" dxfId="536" priority="39" operator="containsText" text="na">
      <formula>NOT(ISERROR(SEARCH("na",E71)))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expression" dxfId="532" priority="148">
      <formula>E76&lt;$D76</formula>
    </cfRule>
    <cfRule type="expression" dxfId="531" priority="147">
      <formula>E76&gt;$D76</formula>
    </cfRule>
    <cfRule type="containsText" dxfId="530" priority="146" operator="containsText" text="na">
      <formula>NOT(ISERROR(SEARCH("na",E76)))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7" stopIfTrue="1">
      <formula>E81&lt;$D81</formula>
    </cfRule>
    <cfRule type="expression" dxfId="525" priority="76">
      <formula>E81&gt;$D81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notContainsText" dxfId="522" priority="83" stopIfTrue="1" operator="notContains" text="Per Disability Per (Policy) Year">
      <formula>ISERROR(SEARCH("Per Disability Per (Policy) Year",E83))</formula>
    </cfRule>
    <cfRule type="containsText" dxfId="521" priority="82" operator="containsText" text="na">
      <formula>NOT(ISERROR(SEARCH("na",E83)))</formula>
    </cfRule>
  </conditionalFormatting>
  <conditionalFormatting sqref="E85:P86">
    <cfRule type="expression" dxfId="520" priority="142">
      <formula>E85&lt;$D85</formula>
    </cfRule>
    <cfRule type="expression" dxfId="519" priority="141">
      <formula>E85&gt;$D85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4" stopIfTrue="1">
      <formula>E87&lt;$D87</formula>
    </cfRule>
    <cfRule type="expression" dxfId="516" priority="73">
      <formula>E87&gt;$D87</formula>
    </cfRule>
  </conditionalFormatting>
  <conditionalFormatting sqref="E88:P88">
    <cfRule type="expression" dxfId="515" priority="38">
      <formula>E88&lt;$D88</formula>
    </cfRule>
    <cfRule type="expression" dxfId="514" priority="37">
      <formula>E88&gt;$D88</formula>
    </cfRule>
  </conditionalFormatting>
  <conditionalFormatting sqref="E90:P91">
    <cfRule type="expression" dxfId="513" priority="139">
      <formula>E90&lt;$D90</formula>
    </cfRule>
    <cfRule type="expression" dxfId="512" priority="138">
      <formula>E90&gt;$D90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2">
      <formula>E99&lt;$D99</formula>
    </cfRule>
    <cfRule type="expression" dxfId="500" priority="31">
      <formula>E99&gt;$D99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2" stopIfTrue="1">
      <formula>E108&lt;$D108</formula>
    </cfRule>
    <cfRule type="expression" dxfId="488" priority="61">
      <formula>E108&gt;$D108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4">
      <formula>E116&lt;$D116</formula>
    </cfRule>
    <cfRule type="expression" dxfId="477" priority="123">
      <formula>E116&gt;$D116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expression" dxfId="471" priority="26">
      <formula>E121&lt;$D121</formula>
    </cfRule>
    <cfRule type="expression" dxfId="470" priority="25">
      <formula>E121&gt;$D121</formula>
    </cfRule>
    <cfRule type="containsText" dxfId="469" priority="24" operator="containsText" text="na">
      <formula>NOT(ISERROR(SEARCH("na",E121)))</formula>
    </cfRule>
  </conditionalFormatting>
  <conditionalFormatting sqref="E123:P124">
    <cfRule type="expression" dxfId="468" priority="121">
      <formula>E123&lt;$D123</formula>
    </cfRule>
    <cfRule type="expression" dxfId="467" priority="120">
      <formula>E123&gt;$D123</formula>
    </cfRule>
    <cfRule type="containsText" dxfId="466" priority="119" operator="containsText" text="na">
      <formula>NOT(ISERROR(SEARCH("na",E123)))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5">
      <formula>E129&lt;$D129</formula>
    </cfRule>
    <cfRule type="expression" dxfId="460" priority="114">
      <formula>E129&gt;$D129</formula>
    </cfRule>
  </conditionalFormatting>
  <conditionalFormatting sqref="E132:P133">
    <cfRule type="expression" dxfId="459" priority="111">
      <formula>E132&gt;$D132</formula>
    </cfRule>
    <cfRule type="expression" dxfId="458" priority="112">
      <formula>E132&lt;$D132</formula>
    </cfRule>
    <cfRule type="containsText" dxfId="457" priority="110" operator="containsText" text="na">
      <formula>NOT(ISERROR(SEARCH("na",E132)))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1" operator="containsText" text="Per Disability Per (Policy) Year">
      <formula>NOT(ISERROR(SEARCH("Per Disability Per (Policy) Year",E141)))</formula>
    </cfRule>
    <cfRule type="containsText" dxfId="449" priority="80" operator="containsText" text="na">
      <formula>NOT(ISERROR(SEARCH("na",E141)))</formula>
    </cfRule>
  </conditionalFormatting>
  <conditionalFormatting sqref="E143:P143">
    <cfRule type="expression" dxfId="448" priority="22">
      <formula>E143&gt;$D143</formula>
    </cfRule>
    <cfRule type="expression" dxfId="447" priority="23">
      <formula>E143&lt;$D143</formula>
    </cfRule>
    <cfRule type="containsText" dxfId="446" priority="21" operator="containsText" text="na">
      <formula>NOT(ISERROR(SEARCH("na",E143)))</formula>
    </cfRule>
  </conditionalFormatting>
  <conditionalFormatting sqref="E153:P155">
    <cfRule type="expression" dxfId="445" priority="154">
      <formula>E153&lt;$D153</formula>
    </cfRule>
    <cfRule type="expression" dxfId="444" priority="153">
      <formula>E153&gt;$D153</formula>
    </cfRule>
    <cfRule type="containsText" dxfId="443"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expression" dxfId="434" priority="150">
      <formula>E9&lt;$D9</formula>
    </cfRule>
    <cfRule type="expression" dxfId="433" priority="149">
      <formula>E9&gt;$D9</formula>
    </cfRule>
    <cfRule type="containsText" dxfId="432" priority="148" operator="containsText" text="na">
      <formula>NOT(ISERROR(SEARCH("na",E9)))</formula>
    </cfRule>
  </conditionalFormatting>
  <conditionalFormatting sqref="E11:P11">
    <cfRule type="containsText" dxfId="431" priority="102" operator="containsText" text="Per Disability Per (Policy) Year">
      <formula>NOT(ISERROR(SEARCH("Per Disability Per (Policy) Year",E11)))</formula>
    </cfRule>
    <cfRule type="containsText" dxfId="430" priority="101" operator="containsText" text="na">
      <formula>NOT(ISERROR(SEARCH("na",E11)))</formula>
    </cfRule>
  </conditionalFormatting>
  <conditionalFormatting sqref="E14:P14">
    <cfRule type="expression" dxfId="429" priority="222">
      <formula>E14&lt;$D14</formula>
    </cfRule>
    <cfRule type="expression" dxfId="428" priority="221">
      <formula>E14&gt;$D14</formula>
    </cfRule>
    <cfRule type="containsText" dxfId="427" priority="220" operator="containsText" text="na">
      <formula>NOT(ISERROR(SEARCH("na",E14)))</formula>
    </cfRule>
  </conditionalFormatting>
  <conditionalFormatting sqref="E17:P17">
    <cfRule type="containsText" dxfId="426" priority="100" operator="containsText" text="Per Disability Per (Policy) Year">
      <formula>NOT(ISERROR(SEARCH("Per Disability Per (Policy) Year",E17)))</formula>
    </cfRule>
    <cfRule type="containsText" dxfId="425" priority="99" operator="containsText" text="na">
      <formula>NOT(ISERROR(SEARCH("na",E17)))</formula>
    </cfRule>
  </conditionalFormatting>
  <conditionalFormatting sqref="E19:P19">
    <cfRule type="expression" dxfId="424" priority="219">
      <formula>E19&lt;$D19</formula>
    </cfRule>
    <cfRule type="expression" dxfId="423" priority="218">
      <formula>E19&gt;$D19</formula>
    </cfRule>
    <cfRule type="containsText" dxfId="422" priority="217" operator="containsText" text="na">
      <formula>NOT(ISERROR(SEARCH("na",E19)))</formula>
    </cfRule>
  </conditionalFormatting>
  <conditionalFormatting sqref="E21:P21">
    <cfRule type="containsText" dxfId="421" priority="50" operator="containsText" text="na">
      <formula>NOT(ISERROR(SEARCH("na",E21)))</formula>
    </cfRule>
    <cfRule type="expression" dxfId="420" priority="52">
      <formula>E21&lt;$D21</formula>
    </cfRule>
    <cfRule type="expression" dxfId="419" priority="51">
      <formula>E21&gt;$D21</formula>
    </cfRule>
  </conditionalFormatting>
  <conditionalFormatting sqref="E22:P22">
    <cfRule type="containsText" dxfId="418" priority="98" operator="containsText" text="Per Disability Per (Policy) Year">
      <formula>NOT(ISERROR(SEARCH("Per Disability Per (Policy) Year",E22)))</formula>
    </cfRule>
    <cfRule type="containsText" dxfId="417" priority="97" operator="containsText" text="na">
      <formula>NOT(ISERROR(SEARCH("na",E22)))</formula>
    </cfRule>
  </conditionalFormatting>
  <conditionalFormatting sqref="E24:P24">
    <cfRule type="expression" dxfId="416" priority="215">
      <formula>E24&gt;$D24</formula>
    </cfRule>
    <cfRule type="containsText" dxfId="415" priority="214" operator="containsText" text="na">
      <formula>NOT(ISERROR(SEARCH("na",E24)))</formula>
    </cfRule>
    <cfRule type="expression" dxfId="414" priority="216">
      <formula>E24&lt;$D24</formula>
    </cfRule>
  </conditionalFormatting>
  <conditionalFormatting sqref="E25:P25">
    <cfRule type="containsText" dxfId="413" priority="96" operator="containsText" text="Per Disability Per (Policy) Year">
      <formula>NOT(ISERROR(SEARCH("Per Disability Per (Policy) Year",E25)))</formula>
    </cfRule>
    <cfRule type="containsText" dxfId="412" priority="95" operator="containsText" text="na">
      <formula>NOT(ISERROR(SEARCH("na",E25)))</formula>
    </cfRule>
  </conditionalFormatting>
  <conditionalFormatting sqref="E27:P27">
    <cfRule type="containsText" dxfId="411" priority="94" operator="containsText" text="Per Disability Per (Policy) Year">
      <formula>NOT(ISERROR(SEARCH("Per Disability Per (Policy) Year",E27)))</formula>
    </cfRule>
    <cfRule type="containsText" dxfId="410" priority="93" operator="containsText" text="na">
      <formula>NOT(ISERROR(SEARCH("na",E27)))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expression" dxfId="403" priority="206">
      <formula>E38&gt;$D38</formula>
    </cfRule>
    <cfRule type="containsText" dxfId="402" priority="205" operator="containsText" text="na">
      <formula>NOT(ISERROR(SEARCH("na",E38)))</formula>
    </cfRule>
    <cfRule type="expression" dxfId="401" priority="207">
      <formula>E38&lt;$D38</formula>
    </cfRule>
  </conditionalFormatting>
  <conditionalFormatting sqref="E43:P43">
    <cfRule type="expression" dxfId="400" priority="204">
      <formula>E43&lt;$D43</formula>
    </cfRule>
    <cfRule type="expression" dxfId="399" priority="203">
      <formula>E43&gt;$D43</formula>
    </cfRule>
    <cfRule type="containsText" dxfId="398" priority="202" operator="containsText" text="na">
      <formula>NOT(ISERROR(SEARCH("na",E43)))</formula>
    </cfRule>
  </conditionalFormatting>
  <conditionalFormatting sqref="E44:P44">
    <cfRule type="containsText" dxfId="397" priority="92" operator="containsText" text="Per Disability Per (Policy) Year">
      <formula>NOT(ISERROR(SEARCH("Per Disability Per (Policy) Year",E44)))</formula>
    </cfRule>
    <cfRule type="containsText" dxfId="396" priority="91" operator="containsText" text="na">
      <formula>NOT(ISERROR(SEARCH("na",E44)))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expression" dxfId="392" priority="233">
      <formula>E48&gt;$D48</formula>
    </cfRule>
    <cfRule type="containsText" dxfId="391" priority="232" operator="containsText" text="na">
      <formula>NOT(ISERROR(SEARCH("na",E48)))</formula>
    </cfRule>
    <cfRule type="expression" dxfId="390" priority="234">
      <formula>E48&lt;$D48</formula>
    </cfRule>
  </conditionalFormatting>
  <conditionalFormatting sqref="E49:P49">
    <cfRule type="notContainsText" dxfId="389" priority="10" stopIfTrue="1" operator="notContains" text="Per Disability Per (Policy) Year">
      <formula>ISERROR(SEARCH("Per Disability Per (Policy) Year",E49))</formula>
    </cfRule>
    <cfRule type="containsText" dxfId="388" priority="9" operator="containsText" text="na">
      <formula>NOT(ISERROR(SEARCH("na",E49)))</formula>
    </cfRule>
  </conditionalFormatting>
  <conditionalFormatting sqref="E50:P50">
    <cfRule type="expression" dxfId="387" priority="49">
      <formula>E50&lt;$D50</formula>
    </cfRule>
    <cfRule type="expression" dxfId="386" priority="48">
      <formula>E50&gt;$D50</formula>
    </cfRule>
    <cfRule type="containsText" dxfId="385" priority="47" operator="containsText" text="na">
      <formula>NOT(ISERROR(SEARCH("na",E50)))</formula>
    </cfRule>
  </conditionalFormatting>
  <conditionalFormatting sqref="E51:P51">
    <cfRule type="containsText" dxfId="384" priority="90" operator="containsText" text="Per Disability Per (Policy) Year">
      <formula>NOT(ISERROR(SEARCH("Per Disability Per (Policy) Year",E51)))</formula>
    </cfRule>
    <cfRule type="containsText" dxfId="383" priority="89" operator="containsText" text="na">
      <formula>NOT(ISERROR(SEARCH("na",E51)))</formula>
    </cfRule>
  </conditionalFormatting>
  <conditionalFormatting sqref="E53:P53">
    <cfRule type="expression" dxfId="382" priority="231">
      <formula>E53&lt;$D53</formula>
    </cfRule>
    <cfRule type="expression" dxfId="381" priority="230">
      <formula>E53&gt;$D53</formula>
    </cfRule>
    <cfRule type="containsText" dxfId="380" priority="229" operator="containsText" text="na">
      <formula>NOT(ISERROR(SEARCH("na",E53)))</formula>
    </cfRule>
  </conditionalFormatting>
  <conditionalFormatting sqref="E55:P55">
    <cfRule type="expression" dxfId="379" priority="46">
      <formula>E55&lt;$D55</formula>
    </cfRule>
    <cfRule type="expression" dxfId="378" priority="45">
      <formula>E55&gt;$D55</formula>
    </cfRule>
    <cfRule type="containsText" dxfId="377" priority="44" operator="containsText" text="na">
      <formula>NOT(ISERROR(SEARCH("na",E55)))</formula>
    </cfRule>
  </conditionalFormatting>
  <conditionalFormatting sqref="E56:P56">
    <cfRule type="containsText" dxfId="376" priority="88" operator="containsText" text="Per Disability Per (Policy) Year">
      <formula>NOT(ISERROR(SEARCH("Per Disability Per (Policy) Year",E56)))</formula>
    </cfRule>
    <cfRule type="containsText" dxfId="375" priority="87" operator="containsText" text="na">
      <formula>NOT(ISERROR(SEARCH("na",E56)))</formula>
    </cfRule>
  </conditionalFormatting>
  <conditionalFormatting sqref="E59:P59">
    <cfRule type="containsText" dxfId="374" priority="235" operator="containsText" text="na">
      <formula>NOT(ISERROR(SEARCH("na",E59)))</formula>
    </cfRule>
    <cfRule type="expression" dxfId="373" priority="237">
      <formula>E59&lt;$D59</formula>
    </cfRule>
    <cfRule type="expression" dxfId="372" priority="236">
      <formula>E59&gt;$D59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expression" dxfId="369" priority="228">
      <formula>E64&lt;$D64</formula>
    </cfRule>
    <cfRule type="expression" dxfId="368" priority="227">
      <formula>E64&gt;$D64</formula>
    </cfRule>
    <cfRule type="containsText" dxfId="367" priority="226" operator="containsText" text="na">
      <formula>NOT(ISERROR(SEARCH("na",E64)))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expression" dxfId="361" priority="201">
      <formula>E69&lt;$D69</formula>
    </cfRule>
    <cfRule type="expression" dxfId="360" priority="200">
      <formula>E69&gt;$D69</formula>
    </cfRule>
    <cfRule type="containsText" dxfId="359" priority="199" operator="containsText" text="na">
      <formula>NOT(ISERROR(SEARCH("na",E69)))</formula>
    </cfRule>
  </conditionalFormatting>
  <conditionalFormatting sqref="E71:P71">
    <cfRule type="expression" dxfId="358" priority="39">
      <formula>E71&gt;$D71</formula>
    </cfRule>
    <cfRule type="containsText" dxfId="357" priority="38" operator="containsText" text="na">
      <formula>NOT(ISERROR(SEARCH("na",E71)))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expression" dxfId="353" priority="147">
      <formula>E76&lt;$D76</formula>
    </cfRule>
    <cfRule type="expression" dxfId="352" priority="146">
      <formula>E76&gt;$D76</formula>
    </cfRule>
    <cfRule type="containsText" dxfId="351" priority="145" operator="containsText" text="na">
      <formula>NOT(ISERROR(SEARCH("na",E76)))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6" stopIfTrue="1">
      <formula>E81&lt;$D81</formula>
    </cfRule>
    <cfRule type="expression" dxfId="346" priority="75">
      <formula>E81&gt;$D81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notContainsText" dxfId="343" priority="82" stopIfTrue="1" operator="notContains" text="Per Disability Per (Policy) Year">
      <formula>ISERROR(SEARCH("Per Disability Per (Policy) Year",E83))</formula>
    </cfRule>
    <cfRule type="containsText" dxfId="342" priority="81" operator="containsText" text="na">
      <formula>NOT(ISERROR(SEARCH("na",E83)))</formula>
    </cfRule>
  </conditionalFormatting>
  <conditionalFormatting sqref="E85:P86">
    <cfRule type="expression" dxfId="341" priority="141">
      <formula>E85&lt;$D85</formula>
    </cfRule>
    <cfRule type="expression" dxfId="340" priority="140">
      <formula>E85&gt;$D85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3" stopIfTrue="1">
      <formula>E87&lt;$D87</formula>
    </cfRule>
    <cfRule type="expression" dxfId="337" priority="72">
      <formula>E87&gt;$D87</formula>
    </cfRule>
  </conditionalFormatting>
  <conditionalFormatting sqref="E88:P88">
    <cfRule type="expression" dxfId="336" priority="37">
      <formula>E88&lt;$D88</formula>
    </cfRule>
    <cfRule type="expression" dxfId="335" priority="36">
      <formula>E88&gt;$D88</formula>
    </cfRule>
  </conditionalFormatting>
  <conditionalFormatting sqref="E90:P91">
    <cfRule type="expression" dxfId="334" priority="138">
      <formula>E90&lt;$D90</formula>
    </cfRule>
    <cfRule type="expression" dxfId="333" priority="137">
      <formula>E90&gt;$D90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1">
      <formula>E99&lt;$D99</formula>
    </cfRule>
    <cfRule type="expression" dxfId="321" priority="30">
      <formula>E99&gt;$D99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1" stopIfTrue="1">
      <formula>E108&lt;$D108</formula>
    </cfRule>
    <cfRule type="expression" dxfId="309" priority="60">
      <formula>E108&gt;$D108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3">
      <formula>E116&lt;$D116</formula>
    </cfRule>
    <cfRule type="expression" dxfId="298" priority="122">
      <formula>E116&gt;$D116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expression" dxfId="292" priority="25">
      <formula>E121&lt;$D121</formula>
    </cfRule>
    <cfRule type="expression" dxfId="291" priority="24">
      <formula>E121&gt;$D121</formula>
    </cfRule>
    <cfRule type="containsText" dxfId="290" priority="23" operator="containsText" text="na">
      <formula>NOT(ISERROR(SEARCH("na",E121)))</formula>
    </cfRule>
  </conditionalFormatting>
  <conditionalFormatting sqref="E123:P124">
    <cfRule type="expression" dxfId="289" priority="120">
      <formula>E123&lt;$D123</formula>
    </cfRule>
    <cfRule type="expression" dxfId="288" priority="119">
      <formula>E123&gt;$D123</formula>
    </cfRule>
    <cfRule type="containsText" dxfId="287" priority="118" operator="containsText" text="na">
      <formula>NOT(ISERROR(SEARCH("na",E123)))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4">
      <formula>E129&lt;$D129</formula>
    </cfRule>
    <cfRule type="expression" dxfId="281" priority="113">
      <formula>E129&gt;$D129</formula>
    </cfRule>
  </conditionalFormatting>
  <conditionalFormatting sqref="E132:P133">
    <cfRule type="expression" dxfId="280" priority="110">
      <formula>E132&gt;$D132</formula>
    </cfRule>
    <cfRule type="expression" dxfId="279" priority="111">
      <formula>E132&lt;$D132</formula>
    </cfRule>
    <cfRule type="containsText" dxfId="278" priority="109" operator="containsText" text="na">
      <formula>NOT(ISERROR(SEARCH("na",E132)))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80" operator="containsText" text="Per Disability Per (Policy) Year">
      <formula>NOT(ISERROR(SEARCH("Per Disability Per (Policy) Year",E141)))</formula>
    </cfRule>
    <cfRule type="containsText" dxfId="270" priority="79" operator="containsText" text="na">
      <formula>NOT(ISERROR(SEARCH("na",E141)))</formula>
    </cfRule>
  </conditionalFormatting>
  <conditionalFormatting sqref="E143:P143">
    <cfRule type="expression" dxfId="269" priority="21">
      <formula>E143&gt;$D143</formula>
    </cfRule>
    <cfRule type="expression" dxfId="268" priority="22">
      <formula>E143&lt;$D143</formula>
    </cfRule>
    <cfRule type="containsText" dxfId="267" priority="20" operator="containsText" text="na">
      <formula>NOT(ISERROR(SEARCH("na",E143)))</formula>
    </cfRule>
  </conditionalFormatting>
  <conditionalFormatting sqref="E153:P155">
    <cfRule type="expression" dxfId="266" priority="153">
      <formula>E153&lt;$D153</formula>
    </cfRule>
    <cfRule type="expression" dxfId="265" priority="152">
      <formula>E153&gt;$D153</formula>
    </cfRule>
    <cfRule type="containsText" dxfId="264"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145" t="s">
        <v>1244</v>
      </c>
      <c r="D11" s="1146"/>
      <c r="H11" s="441" t="s">
        <v>1243</v>
      </c>
      <c r="I11" s="1145" t="s">
        <v>1244</v>
      </c>
      <c r="J11" s="1146"/>
    </row>
    <row r="12" spans="1:10" ht="31" customHeight="1" thickBot="1">
      <c r="B12" s="38" t="s">
        <v>1245</v>
      </c>
      <c r="C12" s="1147" t="e">
        <f>IF(C1="Raw Data",ContractNo&amp;": "&amp;CompanyName,I12)</f>
        <v>#REF!</v>
      </c>
      <c r="D12" s="1148"/>
      <c r="H12" s="38" t="s">
        <v>1245</v>
      </c>
      <c r="I12" s="1147" t="e">
        <f>ContractNo&amp;": "&amp;CompanyName</f>
        <v>#REF!</v>
      </c>
      <c r="J12" s="1148"/>
    </row>
    <row r="13" spans="1:10" ht="31" customHeight="1" thickBot="1">
      <c r="B13" s="38" t="s">
        <v>1246</v>
      </c>
      <c r="C13" s="1137" t="e">
        <f>IF($C$1="Raw Data",#REF!,I13)</f>
        <v>#REF!</v>
      </c>
      <c r="D13" s="1138"/>
      <c r="H13" s="38" t="s">
        <v>1246</v>
      </c>
      <c r="I13" s="1137" t="e">
        <f>#REF!</f>
        <v>#REF!</v>
      </c>
      <c r="J13" s="1138"/>
    </row>
    <row r="14" spans="1:10" ht="31" customHeight="1">
      <c r="B14" s="1135" t="s">
        <v>1247</v>
      </c>
      <c r="C14" s="1139" t="e" cm="1">
        <f t="array" ref="C14">IF($C$1="Raw Data",LastYr+1&amp;" (Total): "&amp;COUNT(_xlfn.NUMBERVALUE(#REF!)),I14)</f>
        <v>#REF!</v>
      </c>
      <c r="D14" s="1140"/>
      <c r="H14" s="1135" t="s">
        <v>1247</v>
      </c>
      <c r="I14" s="1139" t="e" cm="1">
        <f t="array" ref="I14">LastYr+1&amp;" (Total): "&amp;COUNT(_xlfn.NUMBERVALUE(#REF!))</f>
        <v>#REF!</v>
      </c>
      <c r="J14" s="1140"/>
    </row>
    <row r="15" spans="1:10" ht="31" customHeight="1" thickBot="1">
      <c r="B15" s="1136"/>
      <c r="C15" s="1141" t="e">
        <f>IF($C$1="Raw Data","EE / SP / CH: "&amp;COUNTIF(#REF!,"E")&amp;" / "&amp;COUNTIF(#REF!,"S")&amp;" / "&amp;COUNTIF(#REF!,"C"),I15)</f>
        <v>#REF!</v>
      </c>
      <c r="D15" s="1142"/>
      <c r="H15" s="1136"/>
      <c r="I15" s="1141" t="e">
        <f>"EE / SP / CH: "&amp;COUNTIF(#REF!,"E")&amp;" / "&amp;COUNTIF(#REF!,"S")&amp;" / "&amp;COUNTIF(#REF!,"C")</f>
        <v>#REF!</v>
      </c>
      <c r="J15" s="1142"/>
    </row>
    <row r="16" spans="1:10" ht="31" customHeight="1" thickBot="1">
      <c r="B16" s="38" t="s">
        <v>1248</v>
      </c>
      <c r="C16" s="1137" t="s">
        <v>1249</v>
      </c>
      <c r="D16" s="1138"/>
      <c r="H16" s="38" t="s">
        <v>1248</v>
      </c>
      <c r="I16" s="1137" t="s">
        <v>1249</v>
      </c>
      <c r="J16" s="1138"/>
    </row>
    <row r="17" spans="2:16" ht="31" customHeight="1" thickBot="1">
      <c r="B17" s="38" t="s">
        <v>1250</v>
      </c>
      <c r="C17" s="1143" t="e">
        <f>IF(C1="Raw Data",#REF!,I17)</f>
        <v>#REF!</v>
      </c>
      <c r="D17" s="1144"/>
      <c r="H17" s="38" t="s">
        <v>1250</v>
      </c>
      <c r="I17" s="1143" t="e">
        <f>#REF!</f>
        <v>#REF!</v>
      </c>
      <c r="J17" s="1144"/>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I14:J14"/>
    <mergeCell ref="I15:J15"/>
    <mergeCell ref="C17:D17"/>
    <mergeCell ref="C11:D11"/>
    <mergeCell ref="C12:D12"/>
    <mergeCell ref="C13:D13"/>
    <mergeCell ref="I16:J16"/>
    <mergeCell ref="I17:J17"/>
    <mergeCell ref="I11:J11"/>
    <mergeCell ref="I12:J12"/>
    <mergeCell ref="I13:J13"/>
    <mergeCell ref="B14:B15"/>
    <mergeCell ref="C16:D16"/>
    <mergeCell ref="C14:D14"/>
    <mergeCell ref="C15:D15"/>
    <mergeCell ref="H14:H15"/>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149" t="s">
        <v>203</v>
      </c>
      <c r="C29" s="535" t="e">
        <f>LastYr</f>
        <v>#REF!</v>
      </c>
      <c r="D29" s="536" t="e">
        <f>#REF!</f>
        <v>#REF!</v>
      </c>
      <c r="E29" s="536" t="e">
        <f>#REF!</f>
        <v>#REF!</v>
      </c>
      <c r="F29" s="537" t="e">
        <f>E29/D29</f>
        <v>#REF!</v>
      </c>
      <c r="G29" s="46"/>
    </row>
    <row r="30" spans="1:7">
      <c r="A30" s="169" t="s">
        <v>203</v>
      </c>
      <c r="B30" s="1149"/>
      <c r="C30" s="535" t="e">
        <f>LatestYr</f>
        <v>#REF!</v>
      </c>
      <c r="D30" s="536" t="e">
        <f>#REF!</f>
        <v>#REF!</v>
      </c>
      <c r="E30" s="536" t="e">
        <f>#REF!</f>
        <v>#REF!</v>
      </c>
      <c r="F30" s="537" t="e">
        <f t="shared" ref="F30:F34" si="0">E30/D30</f>
        <v>#REF!</v>
      </c>
      <c r="G30" s="46"/>
    </row>
    <row r="31" spans="1:7">
      <c r="A31" s="169" t="s">
        <v>201</v>
      </c>
      <c r="B31" s="1149" t="s">
        <v>201</v>
      </c>
      <c r="C31" s="535" t="e">
        <f>LastYr</f>
        <v>#REF!</v>
      </c>
      <c r="D31" s="536" t="e">
        <f>#REF!+#REF!</f>
        <v>#REF!</v>
      </c>
      <c r="E31" s="536" t="e">
        <f>#REF!+#REF!</f>
        <v>#REF!</v>
      </c>
      <c r="F31" s="537" t="e">
        <f t="shared" si="0"/>
        <v>#REF!</v>
      </c>
      <c r="G31" s="46"/>
    </row>
    <row r="32" spans="1:7">
      <c r="A32" s="169" t="s">
        <v>201</v>
      </c>
      <c r="B32" s="1149"/>
      <c r="C32" s="535" t="e">
        <f>LatestYr</f>
        <v>#REF!</v>
      </c>
      <c r="D32" s="536" t="e">
        <f>#REF!+#REF!</f>
        <v>#REF!</v>
      </c>
      <c r="E32" s="536" t="e">
        <f>#REF!+#REF!</f>
        <v>#REF!</v>
      </c>
      <c r="F32" s="537" t="e">
        <f t="shared" si="0"/>
        <v>#REF!</v>
      </c>
      <c r="G32" s="46"/>
    </row>
    <row r="33" spans="1:7">
      <c r="A33" s="169" t="s">
        <v>1298</v>
      </c>
      <c r="B33" s="1149" t="s">
        <v>1298</v>
      </c>
      <c r="C33" s="535" t="e">
        <f>LastYr</f>
        <v>#REF!</v>
      </c>
      <c r="D33" s="536" t="e">
        <f>D29+D31</f>
        <v>#REF!</v>
      </c>
      <c r="E33" s="536" t="e">
        <f>E29+E31</f>
        <v>#REF!</v>
      </c>
      <c r="F33" s="537" t="e">
        <f t="shared" si="0"/>
        <v>#REF!</v>
      </c>
      <c r="G33" s="46"/>
    </row>
    <row r="34" spans="1:7">
      <c r="A34" s="169" t="s">
        <v>1298</v>
      </c>
      <c r="B34" s="1149"/>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150" t="s">
        <v>15</v>
      </c>
      <c r="B4" s="1150"/>
      <c r="C4" s="1150"/>
      <c r="D4" s="1150"/>
      <c r="E4" s="1150"/>
      <c r="F4" s="1150"/>
      <c r="G4" s="1150"/>
      <c r="H4" s="1150"/>
      <c r="I4" s="1150"/>
      <c r="J4" s="1150"/>
      <c r="K4" s="1150"/>
      <c r="L4" s="1150"/>
      <c r="M4" s="1150"/>
      <c r="N4" s="1151"/>
      <c r="O4" s="546"/>
      <c r="P4" s="46"/>
      <c r="Q4" s="546"/>
      <c r="R4" s="547"/>
      <c r="S4" s="535"/>
      <c r="T4" s="535"/>
      <c r="U4" s="535"/>
      <c r="V4" s="535"/>
      <c r="W4" s="535"/>
      <c r="X4" s="535"/>
      <c r="Y4" s="535"/>
      <c r="Z4" s="535"/>
      <c r="AA4" s="535"/>
      <c r="AB4" s="535"/>
      <c r="AC4" s="535"/>
      <c r="AD4" s="535"/>
      <c r="AE4" s="535"/>
    </row>
    <row r="5" spans="1:31">
      <c r="A5" s="1152" t="s">
        <v>1300</v>
      </c>
      <c r="B5" s="1153"/>
      <c r="C5" s="1154" t="e">
        <f>LastYr</f>
        <v>#REF!</v>
      </c>
      <c r="D5" s="1155"/>
      <c r="E5" s="1155"/>
      <c r="F5" s="1155"/>
      <c r="G5" s="1155"/>
      <c r="H5" s="1153"/>
      <c r="I5" s="1154" t="e">
        <f>LatestYr</f>
        <v>#REF!</v>
      </c>
      <c r="J5" s="1155"/>
      <c r="K5" s="1155"/>
      <c r="L5" s="1155"/>
      <c r="M5" s="1155"/>
      <c r="N5" s="1153"/>
      <c r="O5" s="169"/>
      <c r="P5" s="46"/>
      <c r="Q5" s="169"/>
      <c r="R5" s="1158" t="e">
        <f>LatestYr</f>
        <v>#REF!</v>
      </c>
      <c r="S5" s="1159"/>
      <c r="T5" s="1159"/>
      <c r="U5" s="1159"/>
      <c r="V5" s="1159"/>
      <c r="W5" s="1157"/>
      <c r="X5" s="549" t="s">
        <v>1300</v>
      </c>
      <c r="Y5" s="549" t="s">
        <v>1300</v>
      </c>
      <c r="Z5" s="1157" t="e">
        <f>LastYr</f>
        <v>#REF!</v>
      </c>
      <c r="AA5" s="1156"/>
      <c r="AB5" s="1156"/>
      <c r="AC5" s="1156"/>
      <c r="AD5" s="1156"/>
      <c r="AE5" s="1156"/>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150" t="s">
        <v>1296</v>
      </c>
      <c r="B20" s="1150"/>
      <c r="C20" s="1150"/>
      <c r="D20" s="1150"/>
      <c r="E20" s="1150"/>
      <c r="F20" s="1150"/>
      <c r="G20" s="1150"/>
      <c r="H20" s="1150"/>
      <c r="I20" s="1150"/>
      <c r="J20" s="1150"/>
      <c r="K20" s="1150"/>
      <c r="L20" s="1150"/>
      <c r="M20" s="1150"/>
      <c r="N20" s="1151"/>
      <c r="O20" s="546"/>
      <c r="P20" s="46"/>
      <c r="Q20" s="546"/>
      <c r="R20" s="547"/>
      <c r="S20" s="535"/>
      <c r="T20" s="535"/>
      <c r="U20" s="535"/>
      <c r="V20" s="535"/>
      <c r="W20" s="535"/>
      <c r="X20" s="535"/>
      <c r="Y20" s="535"/>
      <c r="Z20" s="535"/>
      <c r="AA20" s="535"/>
      <c r="AB20" s="535"/>
      <c r="AC20" s="535"/>
      <c r="AD20" s="535"/>
      <c r="AE20" s="535"/>
    </row>
    <row r="21" spans="1:31">
      <c r="A21" s="1152" t="s">
        <v>1300</v>
      </c>
      <c r="B21" s="1153"/>
      <c r="C21" s="1154" t="e">
        <f>LastYr</f>
        <v>#REF!</v>
      </c>
      <c r="D21" s="1155"/>
      <c r="E21" s="1155"/>
      <c r="F21" s="1155"/>
      <c r="G21" s="1155"/>
      <c r="H21" s="1153"/>
      <c r="I21" s="1154" t="e">
        <f>LatestYr</f>
        <v>#REF!</v>
      </c>
      <c r="J21" s="1155"/>
      <c r="K21" s="1155"/>
      <c r="L21" s="1155"/>
      <c r="M21" s="1155"/>
      <c r="N21" s="1153"/>
      <c r="O21" s="169"/>
      <c r="P21" s="46"/>
      <c r="Q21" s="169"/>
      <c r="R21" s="1156" t="e">
        <f>LatestYr</f>
        <v>#REF!</v>
      </c>
      <c r="S21" s="1156"/>
      <c r="T21" s="1156"/>
      <c r="U21" s="1156"/>
      <c r="V21" s="1156"/>
      <c r="W21" s="1156"/>
      <c r="X21" s="549"/>
      <c r="Y21" s="549" t="s">
        <v>1300</v>
      </c>
      <c r="Z21" s="1157" t="e">
        <f>LastYr</f>
        <v>#REF!</v>
      </c>
      <c r="AA21" s="1156"/>
      <c r="AB21" s="1156"/>
      <c r="AC21" s="1156"/>
      <c r="AD21" s="1156"/>
      <c r="AE21" s="1156"/>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150" t="s">
        <v>1304</v>
      </c>
      <c r="B36" s="1150"/>
      <c r="C36" s="1150"/>
      <c r="D36" s="1150"/>
      <c r="E36" s="1150"/>
      <c r="F36" s="1150"/>
      <c r="G36" s="1150"/>
      <c r="H36" s="1150"/>
      <c r="I36" s="1150"/>
      <c r="J36" s="1150"/>
      <c r="K36" s="1150"/>
      <c r="L36" s="1150"/>
      <c r="M36" s="1150"/>
      <c r="N36" s="1151"/>
      <c r="O36" s="546"/>
      <c r="P36" s="46"/>
      <c r="Q36" s="546"/>
      <c r="R36" s="547"/>
      <c r="S36" s="535"/>
      <c r="T36" s="535"/>
      <c r="U36" s="535"/>
      <c r="V36" s="535"/>
      <c r="W36" s="535"/>
      <c r="X36" s="535"/>
      <c r="Y36" s="535"/>
      <c r="Z36" s="535"/>
      <c r="AA36" s="535"/>
      <c r="AB36" s="535"/>
      <c r="AC36" s="535"/>
      <c r="AD36" s="535"/>
      <c r="AE36" s="535"/>
    </row>
    <row r="37" spans="1:31">
      <c r="A37" s="1152" t="s">
        <v>1300</v>
      </c>
      <c r="B37" s="1153"/>
      <c r="C37" s="1154" t="e">
        <f>LastYr</f>
        <v>#REF!</v>
      </c>
      <c r="D37" s="1155"/>
      <c r="E37" s="1155"/>
      <c r="F37" s="1155"/>
      <c r="G37" s="1155"/>
      <c r="H37" s="1153"/>
      <c r="I37" s="1154" t="e">
        <f>LatestYr</f>
        <v>#REF!</v>
      </c>
      <c r="J37" s="1155"/>
      <c r="K37" s="1155"/>
      <c r="L37" s="1155"/>
      <c r="M37" s="1155"/>
      <c r="N37" s="1153"/>
      <c r="O37" s="169"/>
      <c r="P37" s="46"/>
      <c r="Q37" s="169"/>
      <c r="R37" s="1156" t="e">
        <f>LatestYr</f>
        <v>#REF!</v>
      </c>
      <c r="S37" s="1156"/>
      <c r="T37" s="1156"/>
      <c r="U37" s="1156"/>
      <c r="V37" s="1156"/>
      <c r="W37" s="1156"/>
      <c r="X37" s="549"/>
      <c r="Y37" s="549" t="s">
        <v>1300</v>
      </c>
      <c r="Z37" s="1157" t="e">
        <f>LastYr</f>
        <v>#REF!</v>
      </c>
      <c r="AA37" s="1156"/>
      <c r="AB37" s="1156"/>
      <c r="AC37" s="1156"/>
      <c r="AD37" s="1156"/>
      <c r="AE37" s="1156"/>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R5:W5"/>
    <mergeCell ref="Z5:AE5"/>
    <mergeCell ref="I21:N21"/>
    <mergeCell ref="C21:H21"/>
    <mergeCell ref="R21:W21"/>
    <mergeCell ref="Z21:AE21"/>
    <mergeCell ref="A37:B37"/>
    <mergeCell ref="I37:N37"/>
    <mergeCell ref="C37:H37"/>
    <mergeCell ref="R37:W37"/>
    <mergeCell ref="Z37:AE37"/>
    <mergeCell ref="A4:N4"/>
    <mergeCell ref="A20:N20"/>
    <mergeCell ref="A36:N36"/>
    <mergeCell ref="A5:B5"/>
    <mergeCell ref="A21:B21"/>
    <mergeCell ref="I5:N5"/>
    <mergeCell ref="C5:H5"/>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164" t="s">
        <v>1307</v>
      </c>
      <c r="B5" s="1165"/>
      <c r="C5" s="1165"/>
      <c r="D5" s="1165"/>
      <c r="E5" s="1165"/>
      <c r="F5" s="1165"/>
      <c r="G5" s="1166"/>
      <c r="H5" s="454"/>
      <c r="I5" s="454"/>
      <c r="J5" s="467"/>
      <c r="K5" s="1163" t="s">
        <v>1307</v>
      </c>
      <c r="L5" s="1163"/>
      <c r="M5" s="1163"/>
      <c r="N5" s="1163"/>
      <c r="O5" s="1163"/>
      <c r="P5" s="1163"/>
      <c r="Q5" s="1163"/>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160" t="s">
        <v>1322</v>
      </c>
      <c r="B18" s="1161"/>
      <c r="C18" s="1161"/>
      <c r="D18" s="1161"/>
      <c r="E18" s="1161"/>
      <c r="F18" s="1161"/>
      <c r="G18" s="1162"/>
      <c r="H18" s="454"/>
      <c r="I18" s="454"/>
      <c r="J18" s="467"/>
      <c r="K18" s="1163" t="s">
        <v>1322</v>
      </c>
      <c r="L18" s="1163"/>
      <c r="M18" s="1163"/>
      <c r="N18" s="1163"/>
      <c r="O18" s="1163"/>
      <c r="P18" s="1163"/>
      <c r="Q18" s="1163"/>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164" t="s">
        <v>1307</v>
      </c>
      <c r="B34" s="1165"/>
      <c r="C34" s="1165"/>
      <c r="D34" s="1165"/>
      <c r="E34" s="1165"/>
      <c r="F34" s="1165"/>
      <c r="G34" s="1166"/>
      <c r="H34" s="454"/>
      <c r="I34" s="454"/>
      <c r="J34" s="467"/>
      <c r="K34" s="1163" t="s">
        <v>1307</v>
      </c>
      <c r="L34" s="1163"/>
      <c r="M34" s="1163"/>
      <c r="N34" s="1163"/>
      <c r="O34" s="1163"/>
      <c r="P34" s="1163"/>
      <c r="Q34" s="1163"/>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160" t="s">
        <v>1322</v>
      </c>
      <c r="B47" s="1161"/>
      <c r="C47" s="1161"/>
      <c r="D47" s="1161"/>
      <c r="E47" s="1161"/>
      <c r="F47" s="1161"/>
      <c r="G47" s="1162"/>
      <c r="H47" s="454"/>
      <c r="I47" s="454"/>
      <c r="J47" s="467"/>
      <c r="K47" s="1163" t="s">
        <v>1322</v>
      </c>
      <c r="L47" s="1163"/>
      <c r="M47" s="1163"/>
      <c r="N47" s="1163"/>
      <c r="O47" s="1163"/>
      <c r="P47" s="1163"/>
      <c r="Q47" s="1163"/>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2">
      <formula>H7:H16="Diseases of the nervous system (G00-G99)"</formula>
    </cfRule>
    <cfRule type="expression" dxfId="253" priority="141">
      <formula>H7:H16="Diseases of the ear and mastoid process (H60-H95)"</formula>
    </cfRule>
    <cfRule type="expression" dxfId="252" priority="154">
      <formula>H7:H16="Diseases of the digestive system (K00-K93)"</formula>
    </cfRule>
    <cfRule type="expression" dxfId="251" priority="153">
      <formula>H7:H16="Diseases of the musculoskeletal system and connective tissue (M00-M99)"</formula>
    </cfRule>
    <cfRule type="expression" dxfId="250" priority="152">
      <formula>H7:H16="Diseases of the circulatory system (I00-I99)"</formula>
    </cfRule>
    <cfRule type="expression" dxfId="249" priority="151">
      <formula>H7:H16="Diseases of the respiratory system (J00-J99)"</formula>
    </cfRule>
    <cfRule type="expression" dxfId="248" priority="150">
      <formula>H7:H16="Diseases of the genitourinary system (N00-N99)"</formula>
    </cfRule>
    <cfRule type="expression" dxfId="247" priority="149">
      <formula>H7:H16="Neoplasms"</formula>
    </cfRule>
    <cfRule type="expression" dxfId="246" priority="148">
      <formula>H7:H16="Diseases of the skin and subcutaneous tissue (L00-L99)"""</formula>
    </cfRule>
    <cfRule type="expression" dxfId="245" priority="147">
      <formula>H7:H16="Diseases of the eye and adnexa (H00-H59)"</formula>
    </cfRule>
    <cfRule type="expression" dxfId="244" priority="146">
      <formula>H7:H16="Endocrine, nutritional and metabolic diseases (E00-E90)"</formula>
    </cfRule>
    <cfRule type="expression" dxfId="243" priority="145">
      <formula>H7:H16="Certain infectious and parasitic diseases (A00-B99)"</formula>
    </cfRule>
    <cfRule type="expression" dxfId="242" priority="144">
      <formula>H7:H16="Injury, poisoning and certain other consequences of external causes (S00-T98)"</formula>
    </cfRule>
    <cfRule type="expression" dxfId="241" priority="143">
      <formula>H7:H16="Symptoms, signs and abnormal clinical and laboratory findings, not elsewhere classified (R00-R99)"</formula>
    </cfRule>
  </conditionalFormatting>
  <conditionalFormatting sqref="A9:A13">
    <cfRule type="expression" dxfId="240" priority="173">
      <formula>H9:H31="Certain infectious and parasitic diseases (A00-B99)"</formula>
    </cfRule>
    <cfRule type="expression" dxfId="239" priority="180">
      <formula>H9:H31="Diseases of the circulatory system (I00-I99)"</formula>
    </cfRule>
    <cfRule type="expression" dxfId="238" priority="179">
      <formula>H9:H31="Diseases of the respiratory system (J00-J99)"</formula>
    </cfRule>
    <cfRule type="expression" dxfId="237" priority="178">
      <formula>H9:H31="Diseases of the genitourinary system (N00-N99)"</formula>
    </cfRule>
    <cfRule type="expression" dxfId="236" priority="177">
      <formula>H9:H31="Neoplasms"</formula>
    </cfRule>
    <cfRule type="expression" dxfId="235" priority="176">
      <formula>H9:H31="Diseases of the skin and subcutaneous tissue (L00-L99)"""</formula>
    </cfRule>
    <cfRule type="expression" dxfId="234" priority="175">
      <formula>H9:H31="Diseases of the eye and adnexa (H00-H59)"</formula>
    </cfRule>
    <cfRule type="expression" dxfId="233" priority="174">
      <formula>H9:H31="Endocrine, nutritional and metabolic diseases (E00-E90)"</formula>
    </cfRule>
    <cfRule type="expression" dxfId="232" priority="181">
      <formula>H9:H31="Diseases of the musculoskeletal system and connective tissue (M00-M99)"</formula>
    </cfRule>
    <cfRule type="expression" dxfId="231" priority="172">
      <formula>H9:H31="Injury, poisoning and certain other consequences of external causes (S00-T98)"</formula>
    </cfRule>
    <cfRule type="expression" dxfId="230" priority="171">
      <formula>H9:H31="Symptoms, signs and abnormal clinical and laboratory findings, not elsewhere classified (R00-R99)"</formula>
    </cfRule>
    <cfRule type="expression" dxfId="229" priority="170">
      <formula>H9:H31="Diseases of the nervous system (G00-G99)"</formula>
    </cfRule>
    <cfRule type="expression" dxfId="228" priority="169">
      <formula>H9:H31="Diseases of the ear and mastoid process (H60-H95)"</formula>
    </cfRule>
    <cfRule type="expression" dxfId="227" priority="182">
      <formula>H9:H31="Diseases of the digestive system (K00-K93)"</formula>
    </cfRule>
  </conditionalFormatting>
  <conditionalFormatting sqref="A22:A26">
    <cfRule type="expression" dxfId="226" priority="86">
      <formula>H22:H44="Diseases of the nervous system (G00-G99)"</formula>
    </cfRule>
    <cfRule type="expression" dxfId="225" priority="88">
      <formula>H22:H44="Injury, poisoning and certain other consequences of external causes (S00-T98)"</formula>
    </cfRule>
    <cfRule type="expression" dxfId="224" priority="89">
      <formula>H22:H44="Certain infectious and parasitic diseases (A00-B99)"</formula>
    </cfRule>
    <cfRule type="expression" dxfId="223" priority="90">
      <formula>H22:H44="Endocrine, nutritional and metabolic diseases (E00-E90)"</formula>
    </cfRule>
    <cfRule type="expression" dxfId="222" priority="91">
      <formula>H22:H44="Diseases of the eye and adnexa (H00-H59)"</formula>
    </cfRule>
    <cfRule type="expression" dxfId="221" priority="92">
      <formula>H22:H44="Diseases of the skin and subcutaneous tissue (L00-L99)"""</formula>
    </cfRule>
    <cfRule type="expression" dxfId="220" priority="93">
      <formula>H22:H44="Neoplasms"</formula>
    </cfRule>
    <cfRule type="expression" dxfId="219" priority="85">
      <formula>H22:H44="Diseases of the ear and mastoid process (H60-H95)"</formula>
    </cfRule>
    <cfRule type="expression" dxfId="218" priority="94">
      <formula>H22:H44="Diseases of the genitourinary system (N00-N99)"</formula>
    </cfRule>
    <cfRule type="expression" dxfId="217" priority="95">
      <formula>H22:H44="Diseases of the respiratory system (J00-J99)"</formula>
    </cfRule>
    <cfRule type="expression" dxfId="216" priority="96">
      <formula>H22:H44="Diseases of the circulatory system (I00-I99)"</formula>
    </cfRule>
    <cfRule type="expression" dxfId="215" priority="97">
      <formula>H22:H44="Diseases of the musculoskeletal system and connective tissue (M00-M99)"</formula>
    </cfRule>
    <cfRule type="expression" dxfId="214" priority="98">
      <formula>H22:H44="Diseases of the digestive system (K00-K93)"</formula>
    </cfRule>
    <cfRule type="expression" dxfId="213" priority="87">
      <formula>H22:H44="Symptoms, signs and abnormal clinical and laboratory findings, not elsewhere classified (R00-R99)"</formula>
    </cfRule>
  </conditionalFormatting>
  <conditionalFormatting sqref="A36:A37 A49:A50">
    <cfRule type="expression" dxfId="212" priority="36">
      <formula>H36:H45="Diseases of the skin and subcutaneous tissue (L00-L99)"""</formula>
    </cfRule>
    <cfRule type="expression" dxfId="211" priority="42">
      <formula>H36:H45="Diseases of the digestive system (K00-K93)"</formula>
    </cfRule>
    <cfRule type="expression" dxfId="210" priority="41">
      <formula>H36:H45="Diseases of the musculoskeletal system and connective tissue (M00-M99)"</formula>
    </cfRule>
    <cfRule type="expression" dxfId="209" priority="40">
      <formula>H36:H45="Diseases of the circulatory system (I00-I99)"</formula>
    </cfRule>
    <cfRule type="expression" dxfId="208" priority="39">
      <formula>H36:H45="Diseases of the respiratory system (J00-J99)"</formula>
    </cfRule>
    <cfRule type="expression" dxfId="207" priority="38">
      <formula>H36:H45="Diseases of the genitourinary system (N00-N99)"</formula>
    </cfRule>
    <cfRule type="expression" dxfId="206" priority="37">
      <formula>H36:H45="Neoplasms"</formula>
    </cfRule>
    <cfRule type="expression" dxfId="205" priority="35">
      <formula>H36:H45="Diseases of the eye and adnexa (H00-H59)"</formula>
    </cfRule>
    <cfRule type="expression" dxfId="204" priority="34">
      <formula>H36:H45="Endocrine, nutritional and metabolic diseases (E00-E90)"</formula>
    </cfRule>
    <cfRule type="expression" dxfId="203" priority="33">
      <formula>H36:H45="Certain infectious and parasitic diseases (A00-B99)"</formula>
    </cfRule>
    <cfRule type="expression" dxfId="202" priority="32">
      <formula>H36:H45="Injury, poisoning and certain other consequences of external causes (S00-T98)"</formula>
    </cfRule>
    <cfRule type="expression" dxfId="201" priority="31">
      <formula>H36:H45="Symptoms, signs and abnormal clinical and laboratory findings, not elsewhere classified (R00-R99)"</formula>
    </cfRule>
    <cfRule type="expression" dxfId="200" priority="30">
      <formula>H36:H45="Diseases of the nervous system (G00-G99)"</formula>
    </cfRule>
    <cfRule type="expression" dxfId="199" priority="29">
      <formula>H36:H45="Diseases of the ear and mastoid process (H60-H95)"</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3">
      <formula>H51:H73="Symptoms, signs and abnormal clinical and laboratory findings, not elsewhere classified (R00-R99)"</formula>
    </cfRule>
    <cfRule type="expression" dxfId="183" priority="14">
      <formula>H51:H73="Diseases of the digestive system (K00-K93)"</formula>
    </cfRule>
    <cfRule type="expression" dxfId="182" priority="13">
      <formula>H51:H73="Diseases of the musculoskeletal system and connective tissue (M00-M99)"</formula>
    </cfRule>
    <cfRule type="expression" dxfId="181" priority="12">
      <formula>H51:H73="Diseases of the circulatory system (I00-I99)"</formula>
    </cfRule>
    <cfRule type="expression" dxfId="180" priority="11">
      <formula>H51:H73="Diseases of the respiratory system (J00-J99)"</formula>
    </cfRule>
    <cfRule type="expression" dxfId="179" priority="10">
      <formula>H51:H73="Diseases of the genitourinary system (N00-N99)"</formula>
    </cfRule>
    <cfRule type="expression" dxfId="178" priority="9">
      <formula>H51:H73="Neoplasms"</formula>
    </cfRule>
    <cfRule type="expression" dxfId="177" priority="8">
      <formula>H51:H73="Diseases of the skin and subcutaneous tissue (L00-L99)"""</formula>
    </cfRule>
    <cfRule type="expression" dxfId="176" priority="7">
      <formula>H51:H73="Diseases of the eye and adnexa (H00-H59)"</formula>
    </cfRule>
    <cfRule type="expression" dxfId="175" priority="6">
      <formula>H51:H73="Endocrine, nutritional and metabolic diseases (E00-E90)"</formula>
    </cfRule>
    <cfRule type="expression" dxfId="174" priority="5">
      <formula>H51:H73="Certain infectious and parasitic diseases (A00-B99)"</formula>
    </cfRule>
    <cfRule type="expression" dxfId="173" priority="4">
      <formula>H51:H73="Injury, poisoning and certain other consequences of external causes (S00-T98)"</formula>
    </cfRule>
    <cfRule type="expression" dxfId="172" priority="2">
      <formula>H51:H73="Diseases of the nervous system (G00-G99)"</formula>
    </cfRule>
    <cfRule type="expression" dxfId="171" priority="1">
      <formula>H51:H73="Diseases of the ear and mastoid process (H60-H95)"</formula>
    </cfRule>
  </conditionalFormatting>
  <conditionalFormatting sqref="A7:B8 A20:B21">
    <cfRule type="expression" dxfId="170" priority="168">
      <formula>H7:I16="Diseases of the digestive system (K00-K93)"</formula>
    </cfRule>
    <cfRule type="expression" dxfId="169" priority="155">
      <formula>H7:I16="Diseases of the ear and mastoid process (H60-H95)"</formula>
    </cfRule>
    <cfRule type="expression" dxfId="168" priority="167">
      <formula>H7:I16="Diseases of the musculoskeletal system and connective tissue (M00-M99)"</formula>
    </cfRule>
    <cfRule type="expression" dxfId="167" priority="166">
      <formula>H7:I16="Diseases of the circulatory system (I00-I99)"</formula>
    </cfRule>
    <cfRule type="expression" dxfId="166" priority="165">
      <formula>H7:I16="Diseases of the respiratory system (J00-J99)"</formula>
    </cfRule>
    <cfRule type="expression" dxfId="165" priority="164">
      <formula>H7:I16="Diseases of the genitourinary system (N00-N99)"</formula>
    </cfRule>
    <cfRule type="expression" dxfId="164" priority="163">
      <formula>H7:I16="Neoplasms (C00-D48)"</formula>
    </cfRule>
    <cfRule type="expression" dxfId="163" priority="162">
      <formula>H7:I16="Diseases of the skin and subcutaneous tissue (L00-L99)"</formula>
    </cfRule>
    <cfRule type="expression" dxfId="162" priority="161">
      <formula>H7:I16="Diseases of the eye and adnexa (H00-H59)"</formula>
    </cfRule>
    <cfRule type="expression" dxfId="161" priority="160">
      <formula>H7:I16="Endocrine, nutritional and metabolic diseases (E00-E90)"</formula>
    </cfRule>
    <cfRule type="expression" dxfId="160" priority="159">
      <formula>H7:I16="Certain infectious and parasitic diseases (A00-B99)"</formula>
    </cfRule>
    <cfRule type="expression" dxfId="159" priority="158">
      <formula>H7:I16="Injury, poisoning and certain other consequences of external causes (S00-T98)"</formula>
    </cfRule>
    <cfRule type="expression" dxfId="158" priority="157">
      <formula>H7:I16="Symptoms, signs and abnormal clinical and laboratory findings, not elsewhere classified (R00-R99)"</formula>
    </cfRule>
    <cfRule type="expression" dxfId="157" priority="156">
      <formula>H7:I16="Diseases of the nervous system (G00-G99)"</formula>
    </cfRule>
  </conditionalFormatting>
  <conditionalFormatting sqref="A9:B16">
    <cfRule type="expression" dxfId="156" priority="195">
      <formula>H9:I31="Diseases of the musculoskeletal system and connective tissue (M00-M99)"</formula>
    </cfRule>
    <cfRule type="expression" dxfId="155" priority="194">
      <formula>H9:I31="Diseases of the circulatory system (I00-I99)"</formula>
    </cfRule>
    <cfRule type="expression" dxfId="154" priority="193">
      <formula>H9:I31="Diseases of the respiratory system (J00-J99)"</formula>
    </cfRule>
    <cfRule type="expression" dxfId="153" priority="192">
      <formula>H9:I31="Diseases of the genitourinary system (N00-N99)"</formula>
    </cfRule>
    <cfRule type="expression" dxfId="152" priority="191">
      <formula>H9:I31="Diseases of the blood and blood-forming organs and certain disorders involving the immune mechanism (D50-D89)"</formula>
    </cfRule>
    <cfRule type="expression" dxfId="151" priority="190">
      <formula>H9:I31="Diseases of the skin and subcutaneous tissue (L00-L99)"</formula>
    </cfRule>
    <cfRule type="expression" dxfId="150" priority="189">
      <formula>H9:I31="Diseases of the eye and adnexa (H00-H59)"</formula>
    </cfRule>
    <cfRule type="expression" dxfId="149" priority="183">
      <formula>H9:I31="Diseases of the ear and mastoid process (H60-H95)"</formula>
    </cfRule>
    <cfRule type="expression" dxfId="148" priority="196">
      <formula>H9:I31="Diseases of the digestive system (K00-K93)"</formula>
    </cfRule>
    <cfRule type="expression" dxfId="147" priority="188">
      <formula>H9:I31="Endocrine, nutritional and metabolic diseases (E00-E90)"</formula>
    </cfRule>
    <cfRule type="expression" dxfId="146" priority="187">
      <formula>H9:I31="Certain infectious and parasitic diseases (A00-B99)"</formula>
    </cfRule>
    <cfRule type="expression" dxfId="145" priority="186">
      <formula>H9:I31="Injury, poisoning and certain other consequences of external causes (S00-T98)"</formula>
    </cfRule>
    <cfRule type="expression" dxfId="144" priority="185">
      <formula>H9:I31="Symptoms, signs and abnormal clinical and laboratory findings, not elsewhere classified (R00-R99)"</formula>
    </cfRule>
    <cfRule type="expression" dxfId="143" priority="184">
      <formula>H9:I31="Diseases of the nervous system (G00-G99)"</formula>
    </cfRule>
  </conditionalFormatting>
  <conditionalFormatting sqref="A22:B29">
    <cfRule type="expression" dxfId="142" priority="106">
      <formula>H22:I44="Diseases of the skin and subcutaneous tissue (L00-L99)"</formula>
    </cfRule>
    <cfRule type="expression" dxfId="141" priority="99">
      <formula>H22:I44="Diseases of the ear and mastoid process (H60-H95)"</formula>
    </cfRule>
    <cfRule type="expression" dxfId="140" priority="112">
      <formula>H22:I44="Diseases of the digestive system (K00-K93)"</formula>
    </cfRule>
    <cfRule type="expression" dxfId="139" priority="111">
      <formula>H22:I44="Diseases of the musculoskeletal system and connective tissue (M00-M99)"</formula>
    </cfRule>
    <cfRule type="expression" dxfId="138" priority="110">
      <formula>H22:I44="Diseases of the circulatory system (I00-I99)"</formula>
    </cfRule>
    <cfRule type="expression" dxfId="137" priority="109">
      <formula>H22:I44="Diseases of the respiratory system (J00-J99)"</formula>
    </cfRule>
    <cfRule type="expression" dxfId="136" priority="108">
      <formula>H22:I44="Diseases of the genitourinary system (N00-N99)"</formula>
    </cfRule>
    <cfRule type="expression" dxfId="135" priority="107">
      <formula>H22:I44="Diseases of the blood and blood-forming organs and certain disorders involving the immune mechanism (D50-D89)"</formula>
    </cfRule>
    <cfRule type="expression" dxfId="134" priority="105">
      <formula>H22:I44="Diseases of the eye and adnexa (H00-H59)"</formula>
    </cfRule>
    <cfRule type="expression" dxfId="133" priority="104">
      <formula>H22:I44="Endocrine, nutritional and metabolic diseases (E00-E90)"</formula>
    </cfRule>
    <cfRule type="expression" dxfId="132" priority="103">
      <formula>H22:I44="Certain infectious and parasitic diseases (A00-B99)"</formula>
    </cfRule>
    <cfRule type="expression" dxfId="131" priority="102">
      <formula>H22:I44="Injury, poisoning and certain other consequences of external causes (S00-T98)"</formula>
    </cfRule>
    <cfRule type="expression" dxfId="130" priority="101">
      <formula>H22:I44="Symptoms, signs and abnormal clinical and laboratory findings, not elsewhere classified (R00-R99)"</formula>
    </cfRule>
    <cfRule type="expression" dxfId="129" priority="100">
      <formula>H22:I44="Diseases of the nervous system (G00-G99)"</formula>
    </cfRule>
  </conditionalFormatting>
  <conditionalFormatting sqref="A36:B37 A49:B50">
    <cfRule type="expression" dxfId="128" priority="43">
      <formula>H36:I45="Diseases of the ear and mastoid process (H60-H95)"</formula>
    </cfRule>
    <cfRule type="expression" dxfId="127" priority="45">
      <formula>H36:I45="Symptoms, signs and abnormal clinical and laboratory findings, not elsewhere classified (R00-R99)"</formula>
    </cfRule>
    <cfRule type="expression" dxfId="126" priority="46">
      <formula>H36:I45="Injury, poisoning and certain other consequences of external causes (S00-T98)"</formula>
    </cfRule>
    <cfRule type="expression" dxfId="125" priority="47">
      <formula>H36:I45="Certain infectious and parasitic diseases (A00-B99)"</formula>
    </cfRule>
    <cfRule type="expression" dxfId="124" priority="48">
      <formula>H36:I45="Endocrine, nutritional and metabolic diseases (E00-E90)"</formula>
    </cfRule>
    <cfRule type="expression" dxfId="123" priority="49">
      <formula>H36:I45="Diseases of the eye and adnexa (H00-H59)"</formula>
    </cfRule>
    <cfRule type="expression" dxfId="122" priority="50">
      <formula>H36:I45="Diseases of the skin and subcutaneous tissue (L00-L99)"</formula>
    </cfRule>
    <cfRule type="expression" dxfId="121" priority="51">
      <formula>H36:I45="Neoplasms (C00-D48)"</formula>
    </cfRule>
    <cfRule type="expression" dxfId="120" priority="52">
      <formula>H36:I45="Diseases of the genitourinary system (N00-N99)"</formula>
    </cfRule>
    <cfRule type="expression" dxfId="119" priority="53">
      <formula>H36:I45="Diseases of the respiratory system (J00-J99)"</formula>
    </cfRule>
    <cfRule type="expression" dxfId="118" priority="54">
      <formula>H36:I45="Diseases of the circulatory system (I00-I99)"</formula>
    </cfRule>
    <cfRule type="expression" dxfId="117" priority="55">
      <formula>H36:I45="Diseases of the musculoskeletal system and connective tissue (M00-M99)"</formula>
    </cfRule>
    <cfRule type="expression" dxfId="116" priority="56">
      <formula>H36:I45="Diseases of the digestive system (K00-K93)"</formula>
    </cfRule>
    <cfRule type="expression" dxfId="115" priority="44">
      <formula>H36:I45="Diseases of the nervous system (G00-G99)"</formula>
    </cfRule>
  </conditionalFormatting>
  <conditionalFormatting sqref="A38:B45">
    <cfRule type="expression" dxfId="114" priority="72">
      <formula>H38:I60="Diseases of the nervous system (G00-G99)"</formula>
    </cfRule>
    <cfRule type="expression" dxfId="113" priority="71">
      <formula>H38:I60="Diseases of the ear and mastoid process (H60-H95)"</formula>
    </cfRule>
    <cfRule type="expression" dxfId="112" priority="84">
      <formula>H38:I60="Diseases of the digestive system (K00-K93)"</formula>
    </cfRule>
    <cfRule type="expression" dxfId="111" priority="73">
      <formula>H38:I60="Symptoms, signs and abnormal clinical and laboratory findings, not elsewhere classified (R00-R99)"</formula>
    </cfRule>
    <cfRule type="expression" dxfId="110" priority="74">
      <formula>H38:I60="Injury, poisoning and certain other consequences of external causes (S00-T98)"</formula>
    </cfRule>
    <cfRule type="expression" dxfId="109" priority="75">
      <formula>H38:I60="Certain infectious and parasitic diseases (A00-B99)"</formula>
    </cfRule>
    <cfRule type="expression" dxfId="108" priority="76">
      <formula>H38:I60="Endocrine, nutritional and metabolic diseases (E00-E90)"</formula>
    </cfRule>
    <cfRule type="expression" dxfId="107" priority="77">
      <formula>H38:I60="Diseases of the eye and adnexa (H00-H59)"</formula>
    </cfRule>
    <cfRule type="expression" dxfId="106" priority="78">
      <formula>H38:I60="Diseases of the skin and subcutaneous tissue (L00-L99)"</formula>
    </cfRule>
    <cfRule type="expression" dxfId="105" priority="79">
      <formula>H38:I60="Diseases of the blood and blood-forming organs and certain disorders involving the immune mechanism (D50-D89)"</formula>
    </cfRule>
    <cfRule type="expression" dxfId="104" priority="80">
      <formula>H38:I60="Diseases of the genitourinary system (N00-N99)"</formula>
    </cfRule>
    <cfRule type="expression" dxfId="103" priority="81">
      <formula>H38:I60="Diseases of the respiratory system (J00-J99)"</formula>
    </cfRule>
    <cfRule type="expression" dxfId="102" priority="82">
      <formula>H38:I60="Diseases of the circulatory system (I00-I99)"</formula>
    </cfRule>
    <cfRule type="expression" dxfId="101" priority="83">
      <formula>H38:I60="Diseases of the musculoskeletal system and connective tissue (M00-M99)"</formula>
    </cfRule>
  </conditionalFormatting>
  <conditionalFormatting sqref="A51:B58">
    <cfRule type="expression" dxfId="100" priority="15">
      <formula>H51:I73="Diseases of the ear and mastoid process (H60-H95)"</formula>
    </cfRule>
    <cfRule type="expression" dxfId="99" priority="28">
      <formula>H51:I73="Diseases of the digestive system (K00-K93)"</formula>
    </cfRule>
    <cfRule type="expression" dxfId="98" priority="27">
      <formula>H51:I73="Diseases of the musculoskeletal system and connective tissue (M00-M99)"</formula>
    </cfRule>
    <cfRule type="expression" dxfId="97" priority="26">
      <formula>H51:I73="Diseases of the circulatory system (I00-I99)"</formula>
    </cfRule>
    <cfRule type="expression" dxfId="96" priority="25">
      <formula>H51:I73="Diseases of the respiratory system (J00-J99)"</formula>
    </cfRule>
    <cfRule type="expression" dxfId="95" priority="24">
      <formula>H51:I73="Diseases of the genitourinary system (N00-N99)"</formula>
    </cfRule>
    <cfRule type="expression" dxfId="94" priority="22">
      <formula>H51:I73="Diseases of the skin and subcutaneous tissue (L00-L99)"</formula>
    </cfRule>
    <cfRule type="expression" dxfId="93" priority="21">
      <formula>H51:I73="Diseases of the eye and adnexa (H00-H59)"</formula>
    </cfRule>
    <cfRule type="expression" dxfId="92" priority="20">
      <formula>H51:I73="Endocrine, nutritional and metabolic diseases (E00-E90)"</formula>
    </cfRule>
    <cfRule type="expression" dxfId="91" priority="19">
      <formula>H51:I73="Certain infectious and parasitic diseases (A00-B99)"</formula>
    </cfRule>
    <cfRule type="expression" dxfId="90" priority="18">
      <formula>H51:I73="Injury, poisoning and certain other consequences of external causes (S00-T98)"</formula>
    </cfRule>
    <cfRule type="expression" dxfId="89" priority="17">
      <formula>H51:I73="Symptoms, signs and abnormal clinical and laboratory findings, not elsewhere classified (R00-R99)"</formula>
    </cfRule>
    <cfRule type="expression" dxfId="88" priority="16">
      <formula>H51:I73="Diseases of the nervous system (G00-G99)"</formula>
    </cfRule>
    <cfRule type="expression" dxfId="87"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tabSelected="1" zoomScale="107" workbookViewId="0">
      <selection activeCell="B24" sqref="B24"/>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1"/>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topLeftCell="G28" zoomScaleNormal="55" workbookViewId="0">
      <selection activeCell="G24" sqref="G24"/>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0">
        <f>ClaimInfo!$C$6</f>
        <v>0</v>
      </c>
      <c r="C9" s="931" t="s">
        <v>1715</v>
      </c>
      <c r="D9" s="932">
        <f>ClaimInfo!$C$7</f>
        <v>0</v>
      </c>
      <c r="E9" s="929"/>
      <c r="F9" s="930">
        <f>ClaimInfo!$C$11</f>
        <v>0</v>
      </c>
      <c r="G9" s="931" t="s">
        <v>1715</v>
      </c>
      <c r="H9" s="932">
        <f>ClaimInfo!$C$12</f>
        <v>0</v>
      </c>
      <c r="J9" s="466"/>
      <c r="K9" s="1167" t="e">
        <f>LatestYr</f>
        <v>#REF!</v>
      </c>
      <c r="L9" s="1168"/>
      <c r="M9" s="1169"/>
      <c r="N9" s="1170" t="e">
        <f>LastYr</f>
        <v>#REF!</v>
      </c>
      <c r="O9" s="1171"/>
      <c r="P9" s="1172"/>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7" t="str">
        <f>IF(ClaimInfo!$C$4&lt;&gt;"", ClaimInfo!$C$4, "NA")</f>
        <v>NA</v>
      </c>
      <c r="B11" s="301"/>
      <c r="C11" s="302"/>
      <c r="D11" s="303"/>
      <c r="E11" s="747">
        <f>ClaimInfo!$C$9</f>
        <v>0</v>
      </c>
      <c r="F11" s="301"/>
      <c r="G11" s="302"/>
      <c r="H11" s="303"/>
      <c r="I11" s="323">
        <v>0</v>
      </c>
      <c r="J11" s="897"/>
      <c r="K11" s="898"/>
      <c r="L11" s="899"/>
      <c r="M11" s="900"/>
      <c r="N11" s="901"/>
      <c r="O11" s="902"/>
      <c r="P11" s="303"/>
    </row>
    <row r="13" spans="1:16">
      <c r="A13" s="71" t="s">
        <v>1723</v>
      </c>
      <c r="J13" s="71" t="s">
        <v>1724</v>
      </c>
    </row>
    <row r="14" spans="1:16" ht="16" customHeight="1">
      <c r="A14" s="468"/>
      <c r="B14" s="930">
        <f>ClaimInfo!$C$6</f>
        <v>0</v>
      </c>
      <c r="C14" s="931" t="s">
        <v>1715</v>
      </c>
      <c r="D14" s="932">
        <f>ClaimInfo!$C$7</f>
        <v>0</v>
      </c>
      <c r="E14" s="929"/>
      <c r="F14" s="930">
        <f>ClaimInfo!$C$11</f>
        <v>0</v>
      </c>
      <c r="G14" s="931" t="s">
        <v>1715</v>
      </c>
      <c r="H14" s="932">
        <f>ClaimInfo!$C$12</f>
        <v>0</v>
      </c>
      <c r="I14" s="933"/>
      <c r="J14" s="468"/>
      <c r="K14" s="1170" t="e">
        <f>LatestYr</f>
        <v>#REF!</v>
      </c>
      <c r="L14" s="1171"/>
      <c r="M14" s="1172"/>
      <c r="N14" s="1170" t="e">
        <f>LastYr</f>
        <v>#REF!</v>
      </c>
      <c r="O14" s="1171"/>
      <c r="P14" s="1172"/>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7" t="str">
        <f>ClaimInfo!G2</f>
        <v>IN-PATIENT (HOSPITALIZATION)</v>
      </c>
      <c r="B16" s="622"/>
      <c r="C16" s="305"/>
      <c r="D16" s="306"/>
      <c r="E16" s="723"/>
      <c r="F16" s="304"/>
      <c r="G16" s="305"/>
      <c r="H16" s="306"/>
      <c r="J16" s="895"/>
      <c r="K16" s="707"/>
      <c r="L16" s="707"/>
      <c r="M16" s="306"/>
      <c r="N16"/>
      <c r="O16"/>
      <c r="P16" s="306"/>
    </row>
    <row r="17" spans="1:16">
      <c r="A17" s="808" t="str">
        <f>ClaimInfo!G3</f>
        <v>OUT-PATIENT</v>
      </c>
      <c r="B17" s="622"/>
      <c r="C17" s="305"/>
      <c r="D17" s="306"/>
      <c r="E17" s="724"/>
      <c r="F17" s="308"/>
      <c r="G17" s="309"/>
      <c r="H17" s="306"/>
      <c r="J17" s="896"/>
      <c r="K17" s="707"/>
      <c r="L17" s="707"/>
      <c r="M17" s="310"/>
      <c r="N17"/>
      <c r="O17"/>
      <c r="P17" s="310"/>
    </row>
    <row r="18" spans="1:16">
      <c r="A18" s="808" t="str">
        <f>ClaimInfo!G4</f>
        <v>GROUP DENTAL</v>
      </c>
      <c r="B18" s="622"/>
      <c r="C18" s="305"/>
      <c r="D18" s="306"/>
      <c r="E18" s="724"/>
      <c r="F18" s="308"/>
      <c r="G18" s="309"/>
      <c r="H18" s="306"/>
      <c r="J18" s="896"/>
      <c r="K18" s="707"/>
      <c r="L18" s="707"/>
      <c r="M18" s="310"/>
      <c r="N18"/>
      <c r="O18"/>
      <c r="P18" s="310"/>
    </row>
    <row r="19" spans="1:16" ht="18" customHeight="1">
      <c r="A19" s="808" t="str">
        <f>ClaimInfo!G5</f>
        <v>MATERNITY BENEFIT</v>
      </c>
      <c r="B19" s="622"/>
      <c r="C19" s="305"/>
      <c r="D19" s="306"/>
      <c r="E19" s="724"/>
      <c r="F19" s="308"/>
      <c r="G19" s="309"/>
      <c r="H19" s="306"/>
      <c r="J19" s="307"/>
      <c r="K19" s="308"/>
      <c r="L19" s="309"/>
      <c r="M19" s="310"/>
      <c r="N19" s="308"/>
      <c r="O19" s="309"/>
      <c r="P19" s="310"/>
    </row>
    <row r="20" spans="1:16" ht="18" customHeight="1">
      <c r="A20" s="808" t="str">
        <f>ClaimInfo!G6</f>
        <v/>
      </c>
      <c r="B20" s="625"/>
      <c r="C20" s="309"/>
      <c r="D20" s="310"/>
      <c r="E20" s="724"/>
      <c r="F20" s="308"/>
      <c r="G20" s="309"/>
      <c r="H20" s="310"/>
      <c r="J20" s="307"/>
      <c r="K20" s="308"/>
      <c r="L20" s="309"/>
      <c r="M20" s="310"/>
      <c r="N20" s="308"/>
      <c r="O20" s="309"/>
      <c r="P20" s="310"/>
    </row>
    <row r="21" spans="1:16" ht="18" customHeight="1">
      <c r="A21" s="808"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0">
        <f>ClaimInfo!$C$6</f>
        <v>0</v>
      </c>
      <c r="C25" s="931" t="s">
        <v>1715</v>
      </c>
      <c r="D25" s="932">
        <f>ClaimInfo!$C$7</f>
        <v>0</v>
      </c>
      <c r="E25" s="929"/>
      <c r="F25" s="930">
        <f>ClaimInfo!$C$11</f>
        <v>0</v>
      </c>
      <c r="G25" s="934" t="s">
        <v>1715</v>
      </c>
      <c r="H25" s="986">
        <f>ClaimInfo!$C$12</f>
        <v>0</v>
      </c>
      <c r="J25" s="468"/>
      <c r="K25" s="1170" t="e">
        <f>LatestYr</f>
        <v>#REF!</v>
      </c>
      <c r="L25" s="1171"/>
      <c r="M25" s="1172"/>
      <c r="N25" s="1170" t="e">
        <f>LastYr</f>
        <v>#REF!</v>
      </c>
      <c r="O25" s="1171"/>
      <c r="P25" s="1172"/>
    </row>
    <row r="26" spans="1:16" ht="17">
      <c r="A26" s="461" t="s">
        <v>1730</v>
      </c>
      <c r="B26" s="776" t="s">
        <v>1726</v>
      </c>
      <c r="C26" s="777" t="s">
        <v>1731</v>
      </c>
      <c r="D26" s="778" t="s">
        <v>1199</v>
      </c>
      <c r="E26" s="722"/>
      <c r="F26" s="776" t="s">
        <v>1721</v>
      </c>
      <c r="G26" s="777" t="s">
        <v>1722</v>
      </c>
      <c r="H26" s="778" t="s">
        <v>1199</v>
      </c>
      <c r="J26" s="461" t="s">
        <v>1732</v>
      </c>
      <c r="K26" s="462" t="s">
        <v>1721</v>
      </c>
      <c r="L26" s="463" t="s">
        <v>1722</v>
      </c>
      <c r="M26" s="464" t="s">
        <v>1199</v>
      </c>
      <c r="N26" s="462" t="s">
        <v>1721</v>
      </c>
      <c r="O26" s="463" t="s">
        <v>1722</v>
      </c>
      <c r="P26" s="464" t="s">
        <v>1199</v>
      </c>
    </row>
    <row r="27" spans="1:16" ht="17">
      <c r="A27" s="748" t="s">
        <v>1193</v>
      </c>
      <c r="B27" s="978"/>
      <c r="C27" s="779"/>
      <c r="D27" s="780"/>
      <c r="E27" s="723"/>
      <c r="F27" s="802"/>
      <c r="G27" s="779"/>
      <c r="H27" s="801"/>
      <c r="J27" s="895" t="s">
        <v>1193</v>
      </c>
      <c r="K27" s="706"/>
      <c r="L27" s="706"/>
      <c r="M27" s="306"/>
      <c r="N27" s="712"/>
      <c r="O27" s="712"/>
      <c r="P27" s="306"/>
    </row>
    <row r="28" spans="1:16" ht="17">
      <c r="A28" s="749" t="s">
        <v>1733</v>
      </c>
      <c r="B28" s="781"/>
      <c r="C28" s="309"/>
      <c r="D28" s="805"/>
      <c r="E28" s="724"/>
      <c r="F28" s="803"/>
      <c r="G28" s="804"/>
      <c r="H28" s="800"/>
      <c r="J28" s="896" t="s">
        <v>1734</v>
      </c>
      <c r="K28" s="706"/>
      <c r="L28" s="706"/>
      <c r="M28" s="310"/>
      <c r="N28" s="712"/>
      <c r="O28" s="712"/>
      <c r="P28" s="310"/>
    </row>
    <row r="29" spans="1:16" ht="17">
      <c r="A29" s="311" t="s">
        <v>1284</v>
      </c>
      <c r="B29" s="782">
        <f>SUM(B27:B28)</f>
        <v>0</v>
      </c>
      <c r="C29" s="783">
        <f>SUM(C27:C28)</f>
        <v>0</v>
      </c>
      <c r="D29" s="806" t="str">
        <f>IFERROR(C29/B29,"")</f>
        <v/>
      </c>
      <c r="E29" s="726"/>
      <c r="F29" s="798">
        <f>SUM(F27:F28)</f>
        <v>0</v>
      </c>
      <c r="G29" s="799">
        <f>SUM(G27:G28)</f>
        <v>0</v>
      </c>
      <c r="H29" s="784" t="str">
        <f>IFERROR(G29/F29,"")</f>
        <v/>
      </c>
      <c r="J29" s="311" t="s">
        <v>1284</v>
      </c>
      <c r="K29" s="312"/>
      <c r="L29" s="313"/>
      <c r="M29" s="315"/>
      <c r="N29" s="312"/>
      <c r="O29" s="313"/>
      <c r="P29" s="315"/>
    </row>
    <row r="30" spans="1:16">
      <c r="A30" s="169" t="s">
        <v>1735</v>
      </c>
    </row>
    <row r="31" spans="1:16">
      <c r="A31" s="752" t="s">
        <v>1945</v>
      </c>
      <c r="B31" s="753"/>
      <c r="C31" s="753"/>
      <c r="D31" s="753"/>
      <c r="E31" s="753"/>
      <c r="F31" s="753"/>
      <c r="G31" s="753"/>
      <c r="H31" s="753"/>
    </row>
    <row r="32" spans="1:16" ht="17">
      <c r="A32" s="754"/>
      <c r="B32" s="930">
        <f>ClaimInfo!$C$6</f>
        <v>0</v>
      </c>
      <c r="C32" s="931" t="s">
        <v>1715</v>
      </c>
      <c r="D32" s="932">
        <f>ClaimInfo!$C$7</f>
        <v>0</v>
      </c>
      <c r="E32" s="935"/>
      <c r="F32" s="930">
        <f>ClaimInfo!$C$11</f>
        <v>0</v>
      </c>
      <c r="G32" s="934" t="s">
        <v>1715</v>
      </c>
      <c r="H32" s="986">
        <f>ClaimInfo!$C$12</f>
        <v>0</v>
      </c>
    </row>
    <row r="33" spans="1:8" ht="17">
      <c r="A33" s="755" t="s">
        <v>1946</v>
      </c>
      <c r="B33" s="785" t="s">
        <v>1947</v>
      </c>
      <c r="C33" s="786"/>
      <c r="D33" s="787"/>
      <c r="E33" s="759"/>
      <c r="F33" s="756" t="s">
        <v>1947</v>
      </c>
      <c r="G33" s="757"/>
      <c r="H33" s="758"/>
    </row>
    <row r="34" spans="1:8">
      <c r="A34" s="760" t="str">
        <f>A16</f>
        <v>IN-PATIENT (HOSPITALIZATION)</v>
      </c>
      <c r="B34" s="788"/>
      <c r="C34" s="789"/>
      <c r="D34" s="790"/>
      <c r="E34" s="763"/>
      <c r="F34" s="761"/>
      <c r="G34" s="762"/>
      <c r="H34" s="764"/>
    </row>
    <row r="35" spans="1:8">
      <c r="A35" s="760" t="str">
        <f t="shared" ref="A35:A38" si="0">A17</f>
        <v>OUT-PATIENT</v>
      </c>
      <c r="B35" s="791"/>
      <c r="C35" s="762"/>
      <c r="D35" s="792"/>
      <c r="E35" s="765"/>
      <c r="F35" s="761"/>
      <c r="G35" s="762"/>
      <c r="H35" s="764"/>
    </row>
    <row r="36" spans="1:8">
      <c r="A36" s="760" t="str">
        <f t="shared" si="0"/>
        <v>GROUP DENTAL</v>
      </c>
      <c r="B36" s="791"/>
      <c r="C36" s="762"/>
      <c r="D36" s="792"/>
      <c r="E36" s="765"/>
      <c r="F36" s="761"/>
      <c r="G36" s="762"/>
      <c r="H36" s="764"/>
    </row>
    <row r="37" spans="1:8">
      <c r="A37" s="760" t="str">
        <f t="shared" si="0"/>
        <v>MATERNITY BENEFIT</v>
      </c>
      <c r="B37" s="791"/>
      <c r="C37" s="762"/>
      <c r="D37" s="792"/>
      <c r="E37" s="765"/>
      <c r="F37" s="761"/>
      <c r="G37" s="762"/>
      <c r="H37" s="764"/>
    </row>
    <row r="38" spans="1:8">
      <c r="A38" s="760" t="str">
        <f t="shared" si="0"/>
        <v/>
      </c>
      <c r="B38" s="793"/>
      <c r="C38" s="766"/>
      <c r="D38" s="794"/>
      <c r="E38" s="765"/>
      <c r="F38" s="767"/>
      <c r="G38" s="766"/>
      <c r="H38" s="768"/>
    </row>
    <row r="39" spans="1:8">
      <c r="A39" s="760" t="s">
        <v>92</v>
      </c>
      <c r="B39" s="793"/>
      <c r="C39" s="766"/>
      <c r="D39" s="794"/>
      <c r="E39" s="765"/>
      <c r="F39" s="767"/>
      <c r="G39" s="766"/>
      <c r="H39" s="768"/>
    </row>
    <row r="40" spans="1:8" ht="17">
      <c r="A40" s="769" t="s">
        <v>1948</v>
      </c>
      <c r="B40" s="795">
        <f>SUM(B34:B39)</f>
        <v>0</v>
      </c>
      <c r="C40" s="796"/>
      <c r="D40" s="797"/>
      <c r="E40" s="771"/>
      <c r="F40" s="772">
        <f>SUM(F34:F39)</f>
        <v>0</v>
      </c>
      <c r="G40" s="770"/>
      <c r="H40" s="773"/>
    </row>
    <row r="43" spans="1:8">
      <c r="A43" s="71" t="s">
        <v>1958</v>
      </c>
    </row>
    <row r="44" spans="1:8" ht="17">
      <c r="A44" s="468"/>
      <c r="B44" s="930">
        <f>ClaimInfo!$C$6</f>
        <v>0</v>
      </c>
      <c r="C44" s="931" t="s">
        <v>1715</v>
      </c>
      <c r="D44" s="932">
        <f>ClaimInfo!$C$7</f>
        <v>0</v>
      </c>
      <c r="E44" s="929"/>
      <c r="F44" s="930">
        <f>ClaimInfo!$C$11</f>
        <v>0</v>
      </c>
      <c r="G44" s="934" t="s">
        <v>1715</v>
      </c>
      <c r="H44" s="986">
        <f>ClaimInfo!$C$12</f>
        <v>0</v>
      </c>
    </row>
    <row r="45" spans="1:8" ht="34">
      <c r="A45" s="461" t="s">
        <v>1730</v>
      </c>
      <c r="B45" s="785" t="s">
        <v>1947</v>
      </c>
      <c r="C45" s="979" t="s">
        <v>1960</v>
      </c>
      <c r="D45" s="980"/>
      <c r="E45" s="722"/>
      <c r="F45" s="785" t="s">
        <v>1947</v>
      </c>
      <c r="G45" s="979" t="s">
        <v>1960</v>
      </c>
      <c r="H45" s="987"/>
    </row>
    <row r="46" spans="1:8" ht="17">
      <c r="A46" s="748" t="s">
        <v>1193</v>
      </c>
      <c r="B46" s="978"/>
      <c r="C46" s="981" t="str">
        <f>IFERROR(B46/SUM(B$48), "")</f>
        <v/>
      </c>
      <c r="D46" s="985"/>
      <c r="E46" s="723" t="str">
        <f>A46</f>
        <v>Non-Healthnet</v>
      </c>
      <c r="F46" s="978"/>
      <c r="G46" s="981" t="str">
        <f>IFERROR(F46/SUM(F$48), "")</f>
        <v/>
      </c>
      <c r="H46" s="985"/>
    </row>
    <row r="47" spans="1:8" ht="17">
      <c r="A47" s="749" t="s">
        <v>1733</v>
      </c>
      <c r="B47" s="781"/>
      <c r="C47" s="981" t="str">
        <f>IFERROR(B47/SUM(B$48), "")</f>
        <v/>
      </c>
      <c r="D47" s="984"/>
      <c r="E47" s="723" t="str">
        <f>A47</f>
        <v>HealthNet</v>
      </c>
      <c r="F47" s="781"/>
      <c r="G47" s="981" t="str">
        <f>IFERROR(F47/SUM(F$48), "")</f>
        <v/>
      </c>
      <c r="H47" s="984"/>
    </row>
    <row r="48" spans="1:8" ht="17">
      <c r="A48" s="311" t="s">
        <v>1284</v>
      </c>
      <c r="B48" s="782">
        <f>SUM(B46:B47)</f>
        <v>0</v>
      </c>
      <c r="C48" s="983">
        <f>SUM(C46:C47)</f>
        <v>0</v>
      </c>
      <c r="D48" s="806"/>
      <c r="E48" s="726"/>
      <c r="F48" s="782">
        <f>SUM(F46:F47)</f>
        <v>0</v>
      </c>
      <c r="G48" s="982">
        <f>SUM(G46:G47)</f>
        <v>0</v>
      </c>
      <c r="H48" s="784"/>
    </row>
    <row r="51" spans="1:8">
      <c r="A51" s="71" t="s">
        <v>1959</v>
      </c>
    </row>
    <row r="52" spans="1:8" ht="17">
      <c r="A52" s="468"/>
      <c r="B52" s="930">
        <f>ClaimInfo!$C$6</f>
        <v>0</v>
      </c>
      <c r="C52" s="931" t="s">
        <v>1715</v>
      </c>
      <c r="D52" s="932">
        <f>ClaimInfo!$C$7</f>
        <v>0</v>
      </c>
      <c r="E52" s="929"/>
      <c r="F52" s="930">
        <f>ClaimInfo!$C$11</f>
        <v>0</v>
      </c>
      <c r="G52" s="934" t="s">
        <v>1715</v>
      </c>
      <c r="H52" s="986">
        <f>ClaimInfo!$C$12</f>
        <v>0</v>
      </c>
    </row>
    <row r="53" spans="1:8" ht="34">
      <c r="A53" s="461" t="s">
        <v>1730</v>
      </c>
      <c r="B53" s="776" t="s">
        <v>1722</v>
      </c>
      <c r="C53" s="979" t="s">
        <v>1960</v>
      </c>
      <c r="D53" s="980"/>
      <c r="E53" s="722"/>
      <c r="F53" s="776" t="s">
        <v>1722</v>
      </c>
      <c r="G53" s="979" t="s">
        <v>1960</v>
      </c>
      <c r="H53" s="987"/>
    </row>
    <row r="54" spans="1:8" ht="17">
      <c r="A54" s="748" t="s">
        <v>1193</v>
      </c>
      <c r="B54" s="978"/>
      <c r="C54" s="981" t="str">
        <f>IFERROR(B54/SUM(B$56), "")</f>
        <v/>
      </c>
      <c r="D54" s="984"/>
      <c r="E54" s="723" t="str">
        <f t="shared" ref="E54:E55" si="1">A54</f>
        <v>Non-Healthnet</v>
      </c>
      <c r="F54" s="802"/>
      <c r="G54" s="981" t="str">
        <f>IFERROR(F54/SUM(F$56), "")</f>
        <v/>
      </c>
      <c r="H54" s="984"/>
    </row>
    <row r="55" spans="1:8" ht="17">
      <c r="A55" s="749" t="s">
        <v>1733</v>
      </c>
      <c r="B55" s="781"/>
      <c r="C55" s="981" t="str">
        <f>IFERROR(B55/SUM(B$56), "")</f>
        <v/>
      </c>
      <c r="D55" s="984"/>
      <c r="E55" s="723" t="str">
        <f t="shared" si="1"/>
        <v>HealthNet</v>
      </c>
      <c r="F55" s="803"/>
      <c r="G55" s="981" t="str">
        <f>IFERROR(F55/SUM(F$56), "")</f>
        <v/>
      </c>
      <c r="H55" s="984"/>
    </row>
    <row r="56" spans="1:8" ht="17">
      <c r="A56" s="311" t="s">
        <v>1284</v>
      </c>
      <c r="B56" s="782">
        <f>SUM(B54:B55)</f>
        <v>0</v>
      </c>
      <c r="C56" s="983">
        <f>SUM(C54:C55)</f>
        <v>0</v>
      </c>
      <c r="D56" s="806" t="str">
        <f>IFERROR(C56/B56,"")</f>
        <v/>
      </c>
      <c r="E56" s="726"/>
      <c r="F56" s="798">
        <f>SUM(F54:F55)</f>
        <v>0</v>
      </c>
      <c r="G56" s="982">
        <f>SUM(G54:G55)</f>
        <v>0</v>
      </c>
      <c r="H56" s="784"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6" priority="5431" operator="lessThan">
      <formula>$B$2</formula>
    </cfRule>
  </conditionalFormatting>
  <conditionalFormatting sqref="D16:D19">
    <cfRule type="cellIs" dxfId="85" priority="12" operator="lessThan">
      <formula>$B$2</formula>
    </cfRule>
  </conditionalFormatting>
  <conditionalFormatting sqref="D34:D37">
    <cfRule type="cellIs" dxfId="84" priority="6" operator="lessThan">
      <formula>$B$2</formula>
    </cfRule>
  </conditionalFormatting>
  <conditionalFormatting sqref="D40:E40 H40">
    <cfRule type="cellIs" dxfId="83" priority="7" operator="lessThan">
      <formula>$B$2</formula>
    </cfRule>
  </conditionalFormatting>
  <conditionalFormatting sqref="D56:E56 H56">
    <cfRule type="cellIs" dxfId="82" priority="2" operator="lessThan">
      <formula>$B$2</formula>
    </cfRule>
  </conditionalFormatting>
  <conditionalFormatting sqref="E16">
    <cfRule type="cellIs" dxfId="81" priority="5435" operator="lessThan">
      <formula>$B$3</formula>
    </cfRule>
  </conditionalFormatting>
  <conditionalFormatting sqref="E17 H20:H21">
    <cfRule type="cellIs" dxfId="80" priority="5437" operator="lessThan">
      <formula>$B$4</formula>
    </cfRule>
  </conditionalFormatting>
  <conditionalFormatting sqref="E18:E19 D20:E21">
    <cfRule type="cellIs" dxfId="79" priority="5439" operator="lessThan">
      <formula>$B$5</formula>
    </cfRule>
  </conditionalFormatting>
  <conditionalFormatting sqref="E34">
    <cfRule type="cellIs" dxfId="78" priority="8" operator="lessThan">
      <formula>$B$3</formula>
    </cfRule>
  </conditionalFormatting>
  <conditionalFormatting sqref="E35">
    <cfRule type="cellIs" dxfId="77" priority="9" operator="lessThan">
      <formula>$B$4</formula>
    </cfRule>
  </conditionalFormatting>
  <conditionalFormatting sqref="E36:E37 D38:E39">
    <cfRule type="cellIs" dxfId="76" priority="10" operator="lessThan">
      <formula>$B$5</formula>
    </cfRule>
  </conditionalFormatting>
  <conditionalFormatting sqref="E46:E47 D48:E48 H48">
    <cfRule type="cellIs" dxfId="75" priority="3" operator="lessThan">
      <formula>$B$2</formula>
    </cfRule>
  </conditionalFormatting>
  <conditionalFormatting sqref="E54:E55">
    <cfRule type="cellIs" dxfId="74" priority="1" operator="lessThan">
      <formula>$B$2</formula>
    </cfRule>
  </conditionalFormatting>
  <conditionalFormatting sqref="H16:H19">
    <cfRule type="cellIs" dxfId="73" priority="11" operator="lessThan">
      <formula>$B$3</formula>
    </cfRule>
  </conditionalFormatting>
  <conditionalFormatting sqref="H34:H37">
    <cfRule type="cellIs" dxfId="72" priority="4" operator="lessThan">
      <formula>$B$2</formula>
    </cfRule>
  </conditionalFormatting>
  <conditionalFormatting sqref="H38:H39">
    <cfRule type="cellIs" dxfId="71" priority="5" operator="lessThan">
      <formula>$B$5</formula>
    </cfRule>
  </conditionalFormatting>
  <conditionalFormatting sqref="M11 P11 M22 P22 M27:M29 P27:P29">
    <cfRule type="cellIs" dxfId="70" priority="13" operator="lessThan">
      <formula>$B$2</formula>
    </cfRule>
  </conditionalFormatting>
  <conditionalFormatting sqref="M16 P16">
    <cfRule type="cellIs" dxfId="69" priority="14" operator="lessThan">
      <formula>$B$3</formula>
    </cfRule>
  </conditionalFormatting>
  <conditionalFormatting sqref="M17 P17">
    <cfRule type="cellIs" dxfId="68" priority="15" operator="lessThan">
      <formula>$B$4</formula>
    </cfRule>
  </conditionalFormatting>
  <conditionalFormatting sqref="M18:M21 P18:P21">
    <cfRule type="cellIs" dxfId="67"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0">
        <f>ClaimInfo!$C$6</f>
        <v>0</v>
      </c>
      <c r="D6" s="936" t="s">
        <v>1715</v>
      </c>
      <c r="E6" s="937">
        <f>ClaimInfo!$C$7</f>
        <v>0</v>
      </c>
      <c r="F6" s="930">
        <f>ClaimInfo!$C$11</f>
        <v>0</v>
      </c>
      <c r="G6" s="938" t="s">
        <v>1715</v>
      </c>
      <c r="H6" s="939">
        <f>ClaimInfo!$C$12</f>
        <v>0</v>
      </c>
      <c r="I6" s="46"/>
      <c r="J6" s="615"/>
      <c r="K6" s="472"/>
      <c r="L6" s="1173" t="e">
        <f>LatestYr</f>
        <v>#REF!</v>
      </c>
      <c r="M6" s="1174"/>
      <c r="N6" s="1175"/>
      <c r="O6" s="1173" t="e">
        <f>LastYr</f>
        <v>#REF!</v>
      </c>
      <c r="P6" s="1174"/>
      <c r="Q6" s="1175"/>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0" t="str">
        <f>ClaimInfo!I2</f>
        <v/>
      </c>
      <c r="B8" s="621"/>
      <c r="C8" s="622"/>
      <c r="D8" s="305"/>
      <c r="E8" s="306"/>
      <c r="F8" s="622"/>
      <c r="G8" s="305"/>
      <c r="H8" s="306"/>
      <c r="I8" s="46"/>
      <c r="J8" s="620"/>
      <c r="K8" s="621"/>
      <c r="L8" s="888"/>
      <c r="M8" s="888"/>
      <c r="N8" s="306"/>
      <c r="O8" s="713"/>
      <c r="P8" s="713"/>
      <c r="Q8" s="306"/>
    </row>
    <row r="9" spans="1:17" ht="17">
      <c r="A9" s="750" t="str">
        <f>ClaimInfo!I3</f>
        <v/>
      </c>
      <c r="B9" s="624"/>
      <c r="C9" s="625"/>
      <c r="D9" s="309"/>
      <c r="E9" s="310"/>
      <c r="F9" s="625"/>
      <c r="G9" s="309"/>
      <c r="H9" s="310"/>
      <c r="I9" s="46"/>
      <c r="J9" s="623"/>
      <c r="K9" s="890"/>
      <c r="L9" s="888"/>
      <c r="M9" s="888"/>
      <c r="N9" s="887"/>
      <c r="O9" s="713"/>
      <c r="P9" s="713"/>
      <c r="Q9" s="310"/>
    </row>
    <row r="10" spans="1:17" ht="17">
      <c r="A10" s="750" t="str">
        <f>ClaimInfo!I4</f>
        <v/>
      </c>
      <c r="B10" s="624"/>
      <c r="C10" s="625"/>
      <c r="D10" s="309"/>
      <c r="E10" s="310"/>
      <c r="F10" s="625"/>
      <c r="G10" s="309"/>
      <c r="H10" s="310"/>
      <c r="I10" s="46"/>
      <c r="J10" s="623"/>
      <c r="K10" s="890"/>
      <c r="L10" s="888"/>
      <c r="M10" s="888"/>
      <c r="N10" s="887"/>
      <c r="O10" s="713"/>
      <c r="P10" s="713"/>
      <c r="Q10" s="310"/>
    </row>
    <row r="11" spans="1:17" ht="17">
      <c r="A11" s="750" t="str">
        <f>ClaimInfo!I5</f>
        <v/>
      </c>
      <c r="B11" s="624"/>
      <c r="C11" s="625"/>
      <c r="D11" s="309"/>
      <c r="E11" s="310"/>
      <c r="F11" s="625"/>
      <c r="G11" s="309"/>
      <c r="H11" s="310"/>
      <c r="I11" s="46"/>
      <c r="J11" s="623"/>
      <c r="K11" s="890"/>
      <c r="L11" s="888"/>
      <c r="M11" s="888"/>
      <c r="N11" s="887"/>
      <c r="O11" s="713"/>
      <c r="P11" s="713"/>
      <c r="Q11" s="310"/>
    </row>
    <row r="12" spans="1:17" ht="17">
      <c r="A12" s="750" t="str">
        <f>ClaimInfo!I6</f>
        <v/>
      </c>
      <c r="B12" s="624"/>
      <c r="C12" s="625"/>
      <c r="D12" s="309"/>
      <c r="E12" s="310"/>
      <c r="F12" s="625"/>
      <c r="G12" s="309"/>
      <c r="H12" s="310"/>
      <c r="I12" s="46"/>
      <c r="J12" s="623"/>
      <c r="K12" s="890"/>
      <c r="L12" s="888"/>
      <c r="M12" s="888"/>
      <c r="N12" s="887"/>
      <c r="O12" s="713"/>
      <c r="P12" s="713"/>
      <c r="Q12" s="310"/>
    </row>
    <row r="13" spans="1:17" ht="17">
      <c r="A13" s="750" t="str">
        <f>ClaimInfo!I7</f>
        <v/>
      </c>
      <c r="B13" s="624"/>
      <c r="C13" s="625"/>
      <c r="D13" s="309"/>
      <c r="E13" s="310"/>
      <c r="F13" s="625"/>
      <c r="G13" s="309"/>
      <c r="H13" s="310"/>
      <c r="I13" s="46"/>
      <c r="J13" s="623"/>
      <c r="K13" s="890"/>
      <c r="L13" s="889"/>
      <c r="M13" s="889"/>
      <c r="N13" s="887"/>
      <c r="O13" s="625"/>
      <c r="P13" s="309"/>
      <c r="Q13" s="310"/>
    </row>
    <row r="14" spans="1:17" ht="25" customHeight="1">
      <c r="A14" s="750" t="str">
        <f>ClaimInfo!I8</f>
        <v/>
      </c>
      <c r="B14" s="624"/>
      <c r="C14" s="625"/>
      <c r="D14" s="309"/>
      <c r="E14" s="310"/>
      <c r="F14" s="625"/>
      <c r="G14" s="309"/>
      <c r="H14" s="310"/>
      <c r="I14" s="46"/>
      <c r="J14" s="623"/>
      <c r="K14" s="890"/>
      <c r="L14" s="889"/>
      <c r="M14" s="889"/>
      <c r="N14" s="887"/>
      <c r="O14" s="625"/>
      <c r="P14" s="309"/>
      <c r="Q14" s="310"/>
    </row>
    <row r="15" spans="1:17" ht="25" customHeight="1">
      <c r="A15" s="750" t="str">
        <f>ClaimInfo!I9</f>
        <v/>
      </c>
      <c r="B15" s="624"/>
      <c r="C15" s="625"/>
      <c r="D15" s="309"/>
      <c r="E15" s="310"/>
      <c r="F15" s="625"/>
      <c r="G15" s="309"/>
      <c r="H15" s="310"/>
      <c r="I15" s="46"/>
      <c r="J15" s="623"/>
      <c r="K15" s="624"/>
      <c r="L15" s="622"/>
      <c r="M15" s="305"/>
      <c r="N15" s="310"/>
      <c r="O15" s="625"/>
      <c r="P15" s="309"/>
      <c r="Q15" s="310"/>
    </row>
    <row r="16" spans="1:17" ht="25" customHeight="1">
      <c r="A16" s="750" t="str">
        <f>ClaimInfo!I10</f>
        <v/>
      </c>
      <c r="B16" s="624"/>
      <c r="C16" s="625"/>
      <c r="D16" s="309"/>
      <c r="E16" s="310"/>
      <c r="F16" s="625"/>
      <c r="G16" s="309"/>
      <c r="H16" s="310"/>
      <c r="I16" s="46"/>
      <c r="J16" s="623"/>
      <c r="K16" s="624"/>
      <c r="L16" s="625"/>
      <c r="M16" s="309"/>
      <c r="N16" s="310"/>
      <c r="O16" s="625"/>
      <c r="P16" s="309"/>
      <c r="Q16" s="310"/>
    </row>
    <row r="17" spans="1:17" ht="25" customHeight="1">
      <c r="A17" s="750" t="str">
        <f>ClaimInfo!I11</f>
        <v/>
      </c>
      <c r="B17" s="624"/>
      <c r="C17" s="625"/>
      <c r="D17" s="309"/>
      <c r="E17" s="310"/>
      <c r="F17" s="625"/>
      <c r="G17" s="309"/>
      <c r="H17" s="310"/>
      <c r="I17" s="46"/>
      <c r="J17" s="623"/>
      <c r="K17" s="624"/>
      <c r="L17" s="625"/>
      <c r="M17" s="309"/>
      <c r="N17" s="310"/>
      <c r="O17" s="625"/>
      <c r="P17" s="309"/>
      <c r="Q17" s="310"/>
    </row>
    <row r="18" spans="1:17" ht="25" customHeight="1">
      <c r="A18" s="750" t="str">
        <f>ClaimInfo!I12</f>
        <v/>
      </c>
      <c r="B18" s="624"/>
      <c r="C18" s="625"/>
      <c r="D18" s="309"/>
      <c r="E18" s="310"/>
      <c r="F18" s="625"/>
      <c r="G18" s="309"/>
      <c r="H18" s="310"/>
      <c r="I18" s="46"/>
      <c r="J18" s="623"/>
      <c r="K18" s="624"/>
      <c r="L18" s="625"/>
      <c r="M18" s="309"/>
      <c r="N18" s="310"/>
      <c r="O18" s="625"/>
      <c r="P18" s="309"/>
      <c r="Q18" s="310"/>
    </row>
    <row r="19" spans="1:17" ht="25" customHeight="1">
      <c r="A19" s="750" t="str">
        <f>ClaimInfo!I13</f>
        <v/>
      </c>
      <c r="B19" s="624"/>
      <c r="C19" s="625"/>
      <c r="D19" s="309"/>
      <c r="E19" s="310"/>
      <c r="F19" s="625"/>
      <c r="G19" s="309"/>
      <c r="H19" s="310"/>
      <c r="I19" s="46"/>
      <c r="J19" s="623"/>
      <c r="K19" s="624"/>
      <c r="L19" s="625"/>
      <c r="M19" s="309"/>
      <c r="N19" s="310"/>
      <c r="O19" s="625"/>
      <c r="P19" s="309"/>
      <c r="Q19" s="310"/>
    </row>
    <row r="20" spans="1:17" ht="25" customHeight="1">
      <c r="A20" s="750"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6" priority="1" operator="lessThan">
      <formula>$B$2</formula>
    </cfRule>
  </conditionalFormatting>
  <conditionalFormatting sqref="N8:Q21">
    <cfRule type="cellIs" dxfId="65"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12" sqref="H12"/>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3"/>
      <c r="C11" s="906"/>
      <c r="D11" s="907"/>
      <c r="E11" s="907"/>
      <c r="F11" s="907"/>
      <c r="G11" s="907"/>
      <c r="H11" s="908"/>
      <c r="J11" s="474"/>
      <c r="K11" s="473"/>
      <c r="L11" s="1180" t="e">
        <f>ContractNo</f>
        <v>#REF!</v>
      </c>
      <c r="M11" s="1181"/>
      <c r="N11" s="1181"/>
      <c r="O11" s="1181"/>
      <c r="P11" s="1181"/>
      <c r="Q11" s="1182"/>
    </row>
    <row r="12" spans="1:17" ht="16" customHeight="1">
      <c r="A12" s="476"/>
      <c r="B12" s="905"/>
      <c r="C12" s="940">
        <f>ClaimInfo!$C$6</f>
        <v>0</v>
      </c>
      <c r="D12" s="941" t="s">
        <v>1715</v>
      </c>
      <c r="E12" s="942">
        <f>ClaimInfo!$C$7</f>
        <v>0</v>
      </c>
      <c r="F12" s="942">
        <f>ClaimInfo!$C$11</f>
        <v>0</v>
      </c>
      <c r="G12" s="941" t="s">
        <v>1715</v>
      </c>
      <c r="H12" s="943">
        <f>ClaimInfo!$C$12</f>
        <v>0</v>
      </c>
      <c r="J12" s="476"/>
      <c r="K12" s="475"/>
      <c r="L12" s="1176" t="e">
        <f>LatestYr</f>
        <v>#REF!</v>
      </c>
      <c r="M12" s="1177"/>
      <c r="N12" s="1178"/>
      <c r="O12" s="1179" t="e">
        <f>LastYr</f>
        <v>#REF!</v>
      </c>
      <c r="P12" s="1177"/>
      <c r="Q12" s="1178"/>
    </row>
    <row r="13" spans="1:17" ht="15" customHeight="1">
      <c r="A13" s="477" t="s">
        <v>1740</v>
      </c>
      <c r="B13" s="478" t="s">
        <v>1725</v>
      </c>
      <c r="C13" s="909" t="s">
        <v>1721</v>
      </c>
      <c r="D13" s="910" t="s">
        <v>1722</v>
      </c>
      <c r="E13" s="911" t="s">
        <v>1199</v>
      </c>
      <c r="F13" s="912" t="s">
        <v>1721</v>
      </c>
      <c r="G13" s="910" t="s">
        <v>1722</v>
      </c>
      <c r="H13" s="911" t="s">
        <v>1199</v>
      </c>
      <c r="J13" s="477" t="s">
        <v>1195</v>
      </c>
      <c r="K13" s="478" t="s">
        <v>1679</v>
      </c>
      <c r="L13" s="477" t="s">
        <v>1721</v>
      </c>
      <c r="M13" s="479" t="s">
        <v>1722</v>
      </c>
      <c r="N13" s="478" t="s">
        <v>1199</v>
      </c>
      <c r="O13" s="717" t="s">
        <v>1721</v>
      </c>
      <c r="P13" s="718" t="s">
        <v>1722</v>
      </c>
      <c r="Q13" s="478" t="s">
        <v>1199</v>
      </c>
    </row>
    <row r="14" spans="1:17" ht="17">
      <c r="A14" s="812" t="str">
        <f>ClaimInfo!I2</f>
        <v/>
      </c>
      <c r="B14" s="813" t="str">
        <f>IF(A14&lt;&gt;"", ClaimInfo!G$2, "")</f>
        <v/>
      </c>
      <c r="C14" s="809"/>
      <c r="D14" s="810"/>
      <c r="E14" s="811"/>
      <c r="F14" s="809"/>
      <c r="G14" s="810"/>
      <c r="H14" s="811"/>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5"/>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5"/>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5"/>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5"/>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5"/>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7"/>
      <c r="B43" s="918"/>
      <c r="C43" s="918"/>
      <c r="D43" s="918"/>
      <c r="E43" s="918"/>
      <c r="F43" s="918"/>
      <c r="G43" s="918"/>
      <c r="H43" s="919"/>
      <c r="J43" s="474"/>
      <c r="K43" s="473"/>
      <c r="L43" s="1180" t="e">
        <f>ContractNo</f>
        <v>#REF!</v>
      </c>
      <c r="M43" s="1181"/>
      <c r="N43" s="1181"/>
      <c r="O43" s="1181"/>
      <c r="P43" s="1181"/>
      <c r="Q43" s="1182"/>
    </row>
    <row r="44" spans="1:17" ht="16" customHeight="1">
      <c r="A44" s="915"/>
      <c r="B44" s="916"/>
      <c r="C44" s="944">
        <f>ClaimInfo!$C$6</f>
        <v>0</v>
      </c>
      <c r="D44" s="945" t="s">
        <v>1715</v>
      </c>
      <c r="E44" s="946">
        <f>ClaimInfo!$C$7</f>
        <v>0</v>
      </c>
      <c r="F44" s="946">
        <f>ClaimInfo!$C$11</f>
        <v>0</v>
      </c>
      <c r="G44" s="945" t="s">
        <v>1715</v>
      </c>
      <c r="H44" s="947">
        <f>ClaimInfo!$C$12</f>
        <v>0</v>
      </c>
      <c r="J44" s="476"/>
      <c r="K44" s="475"/>
      <c r="L44" s="1176" t="e">
        <f t="shared" ref="L44" si="0">L12</f>
        <v>#REF!</v>
      </c>
      <c r="M44" s="1177"/>
      <c r="N44" s="1178"/>
      <c r="O44" s="1179" t="e">
        <f t="shared" ref="O44" si="1">O12</f>
        <v>#REF!</v>
      </c>
      <c r="P44" s="1177"/>
      <c r="Q44" s="1178"/>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2" t="str">
        <f>ClaimInfo!I6</f>
        <v/>
      </c>
      <c r="B46" s="813" t="str">
        <f>IF(A46&lt;&gt;"", ClaimInfo!G$2, "")</f>
        <v/>
      </c>
      <c r="C46" s="809"/>
      <c r="D46" s="810"/>
      <c r="E46" s="811"/>
      <c r="F46" s="809"/>
      <c r="G46" s="810"/>
      <c r="H46" s="811"/>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5"/>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5"/>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5"/>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5"/>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4"/>
      <c r="B75" s="904"/>
      <c r="C75" s="907"/>
      <c r="D75" s="907"/>
      <c r="E75" s="907"/>
      <c r="F75" s="907"/>
      <c r="G75" s="907"/>
      <c r="H75" s="908"/>
      <c r="J75" s="474"/>
      <c r="K75" s="473"/>
      <c r="L75" s="1180" t="e">
        <f>ContractNo</f>
        <v>#REF!</v>
      </c>
      <c r="M75" s="1181"/>
      <c r="N75" s="1181"/>
      <c r="O75" s="1181"/>
      <c r="P75" s="1181"/>
      <c r="Q75" s="1182"/>
    </row>
    <row r="76" spans="1:17" ht="16" customHeight="1">
      <c r="A76" s="476"/>
      <c r="B76" s="920"/>
      <c r="C76" s="940">
        <f>ClaimInfo!$C$6</f>
        <v>0</v>
      </c>
      <c r="D76" s="941" t="s">
        <v>1715</v>
      </c>
      <c r="E76" s="942">
        <f>ClaimInfo!$C$7</f>
        <v>0</v>
      </c>
      <c r="F76" s="942">
        <f>ClaimInfo!$C$11</f>
        <v>0</v>
      </c>
      <c r="G76" s="941" t="s">
        <v>1715</v>
      </c>
      <c r="H76" s="943">
        <f>ClaimInfo!$C$12</f>
        <v>0</v>
      </c>
      <c r="J76" s="476"/>
      <c r="K76" s="475"/>
      <c r="L76" s="1176" t="e">
        <f>L44</f>
        <v>#REF!</v>
      </c>
      <c r="M76" s="1177"/>
      <c r="N76" s="1178"/>
      <c r="O76" s="1179" t="e">
        <f>O44</f>
        <v>#REF!</v>
      </c>
      <c r="P76" s="1177"/>
      <c r="Q76" s="1178"/>
    </row>
    <row r="77" spans="1:17" ht="15" customHeight="1">
      <c r="A77" s="477" t="s">
        <v>1195</v>
      </c>
      <c r="B77" s="478" t="s">
        <v>1679</v>
      </c>
      <c r="C77" s="909" t="s">
        <v>1721</v>
      </c>
      <c r="D77" s="910" t="s">
        <v>1722</v>
      </c>
      <c r="E77" s="911" t="s">
        <v>1199</v>
      </c>
      <c r="F77" s="912" t="s">
        <v>1721</v>
      </c>
      <c r="G77" s="910" t="s">
        <v>1722</v>
      </c>
      <c r="H77" s="911" t="s">
        <v>1199</v>
      </c>
      <c r="J77" s="477" t="s">
        <v>1195</v>
      </c>
      <c r="K77" s="478" t="s">
        <v>1679</v>
      </c>
      <c r="L77" s="477" t="s">
        <v>1721</v>
      </c>
      <c r="M77" s="479" t="s">
        <v>1722</v>
      </c>
      <c r="N77" s="478" t="s">
        <v>1199</v>
      </c>
      <c r="O77" s="717" t="s">
        <v>1721</v>
      </c>
      <c r="P77" s="718" t="s">
        <v>1722</v>
      </c>
      <c r="Q77" s="478" t="s">
        <v>1199</v>
      </c>
    </row>
    <row r="78" spans="1:17" ht="16" customHeight="1">
      <c r="A78" s="812" t="str">
        <f>ClaimInfo!I10</f>
        <v/>
      </c>
      <c r="B78" s="813" t="str">
        <f>IF(A78&lt;&gt;"", ClaimInfo!G$2, "")</f>
        <v/>
      </c>
      <c r="C78" s="809"/>
      <c r="D78" s="810"/>
      <c r="E78" s="811"/>
      <c r="F78" s="814"/>
      <c r="G78" s="810"/>
      <c r="H78" s="811"/>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5"/>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5"/>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5"/>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5"/>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4" priority="13" operator="lessThan">
      <formula>$B$3</formula>
    </cfRule>
  </conditionalFormatting>
  <conditionalFormatting sqref="E15:E16 H15:H16 E23:H23 E30:H30 E37 H37 E47:E49 H47:H49 E55 H55 E69:H69 E79:H80 E87:H87 E94:H94 E101:H101">
    <cfRule type="cellIs" dxfId="63" priority="12" operator="lessThan">
      <formula>$B$4</formula>
    </cfRule>
  </conditionalFormatting>
  <conditionalFormatting sqref="E17:H18">
    <cfRule type="cellIs" dxfId="62" priority="1" operator="lessThan">
      <formula>$B$5</formula>
    </cfRule>
  </conditionalFormatting>
  <conditionalFormatting sqref="E19:H19 E26:H26 E33:H33 E40:H40 E51:H51 E58:H58 E65:H65 E72:H72 E83:H83 E90:H90 E97:H97 E104:H104">
    <cfRule type="cellIs" dxfId="61" priority="10" operator="lessThan">
      <formula>$B$2</formula>
    </cfRule>
  </conditionalFormatting>
  <conditionalFormatting sqref="E24:H25 E31:H32 E38 H38 E39:H39 E50:H50 E56:E57 H56:H57 E63:E64 H63:H64 E70:H71 E81:H82 E88:H89 E95:H96 E102:H103">
    <cfRule type="cellIs" dxfId="60" priority="11" operator="lessThan">
      <formula>$B$5</formula>
    </cfRule>
  </conditionalFormatting>
  <conditionalFormatting sqref="F14:G15">
    <cfRule type="cellIs" dxfId="59" priority="3" operator="lessThan">
      <formula>$B$3</formula>
    </cfRule>
  </conditionalFormatting>
  <conditionalFormatting sqref="F16:G16">
    <cfRule type="cellIs" dxfId="58" priority="2" operator="lessThan">
      <formula>$B$4</formula>
    </cfRule>
  </conditionalFormatting>
  <conditionalFormatting sqref="N14:Q14 N21:Q22 N28:Q29 N35:Q36 N46:Q46 N53:Q54 N60:Q62 N67:Q68 N78:Q78 N85:Q86 N92:Q93 N99:Q100">
    <cfRule type="cellIs" dxfId="57" priority="8" operator="lessThan">
      <formula>$B$3</formula>
    </cfRule>
  </conditionalFormatting>
  <conditionalFormatting sqref="N15:Q16 N23 Q23 N30:Q30 N37:Q37 N47:Q49 N55:Q55 N69:Q69 N79:Q80 N87:Q87 N94:Q94 N101:Q101">
    <cfRule type="cellIs" dxfId="56" priority="7" operator="lessThan">
      <formula>$B$4</formula>
    </cfRule>
  </conditionalFormatting>
  <conditionalFormatting sqref="N17:Q18 N24:Q25 N31:Q32 N38:Q39 N50:Q50 N56:Q57 N63:Q64 N70:Q71 N81:Q82 N88:Q89 N95:Q96 N102:Q103">
    <cfRule type="cellIs" dxfId="55" priority="6" operator="lessThan">
      <formula>$B$5</formula>
    </cfRule>
  </conditionalFormatting>
  <conditionalFormatting sqref="N19:Q19 N26:Q26 N33:Q33 N40:Q40 N51:Q51 N58:Q58 N65:Q65 N72:Q72 N83:Q83 N90:Q90 N97:Q97 N104:Q104">
    <cfRule type="cellIs" dxfId="54" priority="5" operator="lessThan">
      <formula>$B$2</formula>
    </cfRule>
  </conditionalFormatting>
  <conditionalFormatting sqref="O23:P23">
    <cfRule type="cellIs" dxfId="53"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zoomScaleNormal="85" workbookViewId="0">
      <selection activeCell="Q3" sqref="Q3"/>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69" customWidth="1"/>
    <col min="12" max="18" width="11.33203125" style="190" customWidth="1"/>
    <col min="19" max="20" width="11.33203125" style="721" customWidth="1"/>
    <col min="21" max="21" width="11.33203125" style="969"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1"/>
      <c r="J1" s="961"/>
      <c r="K1" s="968"/>
      <c r="L1" s="189"/>
      <c r="M1" s="189"/>
      <c r="N1" s="189"/>
      <c r="O1" s="189"/>
      <c r="P1" s="189"/>
      <c r="Q1" s="189"/>
      <c r="R1" s="189"/>
      <c r="S1" s="961"/>
      <c r="T1" s="961"/>
      <c r="U1" s="968"/>
      <c r="V1" s="46"/>
    </row>
    <row r="2" spans="1:45" s="44" customFormat="1" ht="26">
      <c r="A2" s="186" t="str">
        <f>'P20_Usage Overview'!A3</f>
        <v>Hospital</v>
      </c>
      <c r="B2" s="187">
        <f>'P20_Usage Overview'!B3</f>
        <v>0.85</v>
      </c>
      <c r="C2" s="54" t="s">
        <v>1736</v>
      </c>
      <c r="D2" s="45"/>
      <c r="E2" s="189"/>
      <c r="F2" s="189"/>
      <c r="G2" s="189"/>
      <c r="I2" s="961"/>
      <c r="J2" s="961"/>
      <c r="K2" s="968"/>
      <c r="L2" s="189"/>
      <c r="M2" s="189"/>
      <c r="N2" s="189"/>
      <c r="O2" s="189"/>
      <c r="P2" s="189"/>
      <c r="Q2" s="189"/>
      <c r="R2" s="189"/>
      <c r="S2" s="961"/>
      <c r="T2" s="961"/>
      <c r="U2" s="968"/>
      <c r="V2" s="46"/>
    </row>
    <row r="3" spans="1:45" ht="26">
      <c r="V3" s="46"/>
      <c r="W3" s="44"/>
    </row>
    <row r="4" spans="1:45" ht="26">
      <c r="A4" s="858"/>
      <c r="B4" s="858"/>
      <c r="V4" s="46"/>
      <c r="W4" s="44"/>
      <c r="X4" s="50" t="s">
        <v>1288</v>
      </c>
      <c r="Y4" s="50"/>
      <c r="Z4" s="50"/>
      <c r="AA4" s="50"/>
      <c r="AB4" s="50"/>
      <c r="AC4" s="50"/>
      <c r="AD4" s="50"/>
      <c r="AE4" s="50"/>
      <c r="AF4" s="50"/>
      <c r="AG4" s="50"/>
      <c r="AH4" s="871"/>
      <c r="AI4" s="871"/>
      <c r="AJ4" s="50"/>
      <c r="AK4" s="50"/>
      <c r="AL4" s="50"/>
      <c r="AM4" s="50"/>
      <c r="AN4" s="50"/>
      <c r="AO4" s="50"/>
      <c r="AP4" s="50"/>
      <c r="AQ4" s="50"/>
      <c r="AR4" s="871"/>
      <c r="AS4" s="871"/>
    </row>
    <row r="5" spans="1:45" ht="16" customHeight="1">
      <c r="A5" s="884" t="s">
        <v>1289</v>
      </c>
      <c r="B5" s="949">
        <f>ClaimInfo!$C$6</f>
        <v>0</v>
      </c>
      <c r="C5" s="950" t="s">
        <v>1715</v>
      </c>
      <c r="D5" s="950">
        <f>ClaimInfo!$C$7</f>
        <v>0</v>
      </c>
      <c r="E5" s="839"/>
      <c r="F5" s="839"/>
      <c r="G5" s="838"/>
      <c r="H5" s="838"/>
      <c r="I5" s="962"/>
      <c r="J5" s="962"/>
      <c r="K5" s="970"/>
      <c r="L5" s="949">
        <f>ClaimInfo!$C$11</f>
        <v>0</v>
      </c>
      <c r="M5" s="950" t="s">
        <v>1715</v>
      </c>
      <c r="N5" s="950">
        <f>ClaimInfo!$C$12</f>
        <v>0</v>
      </c>
      <c r="O5" s="839"/>
      <c r="P5" s="839"/>
      <c r="Q5" s="838"/>
      <c r="R5" s="838"/>
      <c r="S5" s="962"/>
      <c r="T5" s="962"/>
      <c r="U5" s="970"/>
      <c r="V5" s="46"/>
      <c r="W5" s="481"/>
      <c r="X5" s="828"/>
      <c r="Y5" s="885">
        <f>ClaimInfo!$C$11</f>
        <v>0</v>
      </c>
      <c r="Z5" s="886" t="s">
        <v>1715</v>
      </c>
      <c r="AA5" s="886">
        <f>ClaimInfo!$C$12</f>
        <v>0</v>
      </c>
      <c r="AB5" s="839"/>
      <c r="AC5" s="839"/>
      <c r="AD5" s="838"/>
      <c r="AE5" s="838"/>
      <c r="AF5" s="840"/>
      <c r="AG5" s="840"/>
      <c r="AH5" s="841"/>
      <c r="AI5" s="885">
        <f>ClaimInfo!$C$6</f>
        <v>0</v>
      </c>
      <c r="AJ5" s="886" t="s">
        <v>1715</v>
      </c>
      <c r="AK5" s="886">
        <f>ClaimInfo!$C$7</f>
        <v>0</v>
      </c>
      <c r="AL5" s="839"/>
      <c r="AM5" s="839"/>
      <c r="AN5" s="838"/>
      <c r="AO5" s="838"/>
      <c r="AP5" s="840"/>
      <c r="AQ5" s="840"/>
      <c r="AR5" s="841"/>
    </row>
    <row r="6" spans="1:45" ht="45">
      <c r="A6" s="829" t="s">
        <v>1927</v>
      </c>
      <c r="B6" s="842" t="s">
        <v>1721</v>
      </c>
      <c r="C6" s="836" t="s">
        <v>1722</v>
      </c>
      <c r="D6" s="837" t="s">
        <v>1199</v>
      </c>
      <c r="E6" s="837" t="s">
        <v>1928</v>
      </c>
      <c r="F6" s="837" t="s">
        <v>1931</v>
      </c>
      <c r="G6" s="835" t="s">
        <v>1950</v>
      </c>
      <c r="H6" s="836" t="s">
        <v>1951</v>
      </c>
      <c r="I6" s="836" t="s">
        <v>1952</v>
      </c>
      <c r="J6" s="963" t="s">
        <v>1953</v>
      </c>
      <c r="K6" s="971" t="s">
        <v>1954</v>
      </c>
      <c r="L6" s="842" t="s">
        <v>1721</v>
      </c>
      <c r="M6" s="836" t="s">
        <v>1722</v>
      </c>
      <c r="N6" s="837" t="s">
        <v>1199</v>
      </c>
      <c r="O6" s="837" t="s">
        <v>1928</v>
      </c>
      <c r="P6" s="837" t="s">
        <v>1931</v>
      </c>
      <c r="Q6" s="835" t="s">
        <v>1950</v>
      </c>
      <c r="R6" s="836" t="s">
        <v>1951</v>
      </c>
      <c r="S6" s="836" t="s">
        <v>1952</v>
      </c>
      <c r="T6" s="963" t="s">
        <v>1953</v>
      </c>
      <c r="U6" s="971" t="s">
        <v>1954</v>
      </c>
      <c r="V6" s="46"/>
      <c r="W6" s="482" t="s">
        <v>1929</v>
      </c>
      <c r="X6" s="829" t="s">
        <v>1927</v>
      </c>
      <c r="Y6" s="842" t="s">
        <v>1721</v>
      </c>
      <c r="Z6" s="836" t="s">
        <v>1722</v>
      </c>
      <c r="AA6" s="837" t="s">
        <v>1199</v>
      </c>
      <c r="AB6" s="837" t="s">
        <v>1928</v>
      </c>
      <c r="AC6" s="837" t="s">
        <v>1931</v>
      </c>
      <c r="AD6" s="835" t="s">
        <v>1950</v>
      </c>
      <c r="AE6" s="836" t="s">
        <v>1951</v>
      </c>
      <c r="AF6" s="837" t="s">
        <v>1952</v>
      </c>
      <c r="AG6" s="861" t="s">
        <v>1953</v>
      </c>
      <c r="AH6" s="843" t="s">
        <v>1954</v>
      </c>
      <c r="AI6" s="842" t="s">
        <v>1721</v>
      </c>
      <c r="AJ6" s="836" t="s">
        <v>1722</v>
      </c>
      <c r="AK6" s="837" t="s">
        <v>1199</v>
      </c>
      <c r="AL6" s="837" t="s">
        <v>1928</v>
      </c>
      <c r="AM6" s="837" t="s">
        <v>1931</v>
      </c>
      <c r="AN6" s="835" t="s">
        <v>1950</v>
      </c>
      <c r="AO6" s="836" t="s">
        <v>1951</v>
      </c>
      <c r="AP6" s="837" t="s">
        <v>1952</v>
      </c>
      <c r="AQ6" s="861" t="s">
        <v>1953</v>
      </c>
      <c r="AR6" s="843" t="s">
        <v>1954</v>
      </c>
    </row>
    <row r="7" spans="1:45">
      <c r="A7" s="830"/>
      <c r="B7" s="844"/>
      <c r="C7" s="236"/>
      <c r="D7" s="237"/>
      <c r="E7" s="825"/>
      <c r="F7" s="859"/>
      <c r="G7" s="238"/>
      <c r="H7" s="236"/>
      <c r="I7" s="964"/>
      <c r="J7" s="964"/>
      <c r="K7" s="972"/>
      <c r="L7" s="844"/>
      <c r="M7" s="236"/>
      <c r="N7" s="237"/>
      <c r="O7" s="825"/>
      <c r="P7" s="859"/>
      <c r="Q7" s="238"/>
      <c r="R7" s="236"/>
      <c r="S7" s="964"/>
      <c r="T7" s="964"/>
      <c r="U7" s="972"/>
      <c r="V7" s="46"/>
      <c r="W7" s="281"/>
      <c r="X7" s="830"/>
      <c r="Y7" s="844"/>
      <c r="Z7" s="236"/>
      <c r="AA7" s="237"/>
      <c r="AB7" s="825"/>
      <c r="AC7" s="859"/>
      <c r="AD7" s="238"/>
      <c r="AE7" s="236"/>
      <c r="AF7" s="862"/>
      <c r="AG7" s="862"/>
      <c r="AH7" s="866"/>
      <c r="AI7" s="844"/>
      <c r="AJ7" s="236"/>
      <c r="AK7" s="237"/>
      <c r="AL7" s="825"/>
      <c r="AM7" s="859"/>
      <c r="AN7" s="238"/>
      <c r="AO7" s="236"/>
      <c r="AP7" s="862"/>
      <c r="AQ7" s="862"/>
      <c r="AR7" s="866"/>
    </row>
    <row r="8" spans="1:45" ht="31" customHeight="1">
      <c r="A8" s="831"/>
      <c r="B8" s="845"/>
      <c r="C8" s="200"/>
      <c r="D8" s="201"/>
      <c r="E8" s="826"/>
      <c r="F8" s="860"/>
      <c r="G8" s="234"/>
      <c r="H8" s="200"/>
      <c r="I8" s="964"/>
      <c r="J8" s="964"/>
      <c r="K8" s="972"/>
      <c r="L8" s="845"/>
      <c r="M8" s="200"/>
      <c r="N8" s="201"/>
      <c r="O8" s="826"/>
      <c r="P8" s="860"/>
      <c r="Q8" s="234"/>
      <c r="R8" s="200"/>
      <c r="S8" s="964"/>
      <c r="T8" s="964"/>
      <c r="U8" s="972"/>
      <c r="V8" s="46"/>
      <c r="W8" s="282"/>
      <c r="X8" s="831"/>
      <c r="Y8" s="845"/>
      <c r="Z8" s="200"/>
      <c r="AA8" s="201"/>
      <c r="AB8" s="826"/>
      <c r="AC8" s="860"/>
      <c r="AD8" s="234"/>
      <c r="AE8" s="200"/>
      <c r="AF8" s="862"/>
      <c r="AG8" s="862"/>
      <c r="AH8" s="866"/>
      <c r="AI8" s="845"/>
      <c r="AJ8" s="200"/>
      <c r="AK8" s="201"/>
      <c r="AL8" s="826"/>
      <c r="AM8" s="860"/>
      <c r="AN8" s="234"/>
      <c r="AO8" s="200"/>
      <c r="AP8" s="862"/>
      <c r="AQ8" s="862"/>
      <c r="AR8" s="866"/>
    </row>
    <row r="9" spans="1:45">
      <c r="A9" s="831"/>
      <c r="B9" s="845"/>
      <c r="C9" s="200"/>
      <c r="D9" s="201"/>
      <c r="E9" s="826"/>
      <c r="F9" s="860"/>
      <c r="G9" s="234"/>
      <c r="H9" s="200"/>
      <c r="I9" s="964"/>
      <c r="J9" s="964"/>
      <c r="K9" s="972"/>
      <c r="L9" s="845"/>
      <c r="M9" s="200"/>
      <c r="N9" s="201"/>
      <c r="O9" s="826"/>
      <c r="P9" s="860"/>
      <c r="Q9" s="234"/>
      <c r="R9" s="200"/>
      <c r="S9" s="964"/>
      <c r="T9" s="964"/>
      <c r="U9" s="972"/>
      <c r="V9" s="46"/>
      <c r="W9" s="282"/>
      <c r="X9" s="831"/>
      <c r="Y9" s="845"/>
      <c r="Z9" s="200"/>
      <c r="AA9" s="201"/>
      <c r="AB9" s="826"/>
      <c r="AC9" s="860"/>
      <c r="AD9" s="234"/>
      <c r="AE9" s="200"/>
      <c r="AF9" s="862"/>
      <c r="AG9" s="862"/>
      <c r="AH9" s="866"/>
      <c r="AI9" s="845"/>
      <c r="AJ9" s="200"/>
      <c r="AK9" s="201"/>
      <c r="AL9" s="826"/>
      <c r="AM9" s="860"/>
      <c r="AN9" s="234"/>
      <c r="AO9" s="200"/>
      <c r="AP9" s="862"/>
      <c r="AQ9" s="862"/>
      <c r="AR9" s="866"/>
    </row>
    <row r="10" spans="1:45">
      <c r="A10" s="831"/>
      <c r="B10" s="845"/>
      <c r="C10" s="200"/>
      <c r="D10" s="201"/>
      <c r="E10" s="826"/>
      <c r="F10" s="860"/>
      <c r="G10" s="234"/>
      <c r="H10" s="200"/>
      <c r="I10" s="964"/>
      <c r="J10" s="964"/>
      <c r="K10" s="972"/>
      <c r="L10" s="845"/>
      <c r="M10" s="200"/>
      <c r="N10" s="201"/>
      <c r="O10" s="826"/>
      <c r="P10" s="860"/>
      <c r="Q10" s="234"/>
      <c r="R10" s="200"/>
      <c r="S10" s="964"/>
      <c r="T10" s="964"/>
      <c r="U10" s="972"/>
      <c r="V10" s="46"/>
      <c r="W10" s="282"/>
      <c r="X10" s="831"/>
      <c r="Y10" s="845"/>
      <c r="Z10" s="200"/>
      <c r="AA10" s="201"/>
      <c r="AB10" s="826"/>
      <c r="AC10" s="860"/>
      <c r="AD10" s="234"/>
      <c r="AE10" s="200"/>
      <c r="AF10" s="862"/>
      <c r="AG10" s="862"/>
      <c r="AH10" s="866"/>
      <c r="AI10" s="845"/>
      <c r="AJ10" s="200"/>
      <c r="AK10" s="201"/>
      <c r="AL10" s="826"/>
      <c r="AM10" s="860"/>
      <c r="AN10" s="234"/>
      <c r="AO10" s="200"/>
      <c r="AP10" s="862"/>
      <c r="AQ10" s="862"/>
      <c r="AR10" s="866"/>
    </row>
    <row r="11" spans="1:45">
      <c r="A11" s="831"/>
      <c r="B11" s="845"/>
      <c r="C11" s="200"/>
      <c r="D11" s="201"/>
      <c r="E11" s="826"/>
      <c r="F11" s="860"/>
      <c r="G11" s="234"/>
      <c r="H11" s="200"/>
      <c r="I11" s="964"/>
      <c r="J11" s="964"/>
      <c r="K11" s="972"/>
      <c r="L11" s="845"/>
      <c r="M11" s="200"/>
      <c r="N11" s="201"/>
      <c r="O11" s="826"/>
      <c r="P11" s="860"/>
      <c r="Q11" s="234"/>
      <c r="R11" s="200"/>
      <c r="S11" s="964"/>
      <c r="T11" s="964"/>
      <c r="U11" s="972"/>
      <c r="V11" s="46"/>
      <c r="W11" s="282"/>
      <c r="X11" s="831"/>
      <c r="Y11" s="845"/>
      <c r="Z11" s="200"/>
      <c r="AA11" s="201"/>
      <c r="AB11" s="826"/>
      <c r="AC11" s="860"/>
      <c r="AD11" s="234"/>
      <c r="AE11" s="200"/>
      <c r="AF11" s="862"/>
      <c r="AG11" s="862"/>
      <c r="AH11" s="866"/>
      <c r="AI11" s="845"/>
      <c r="AJ11" s="200"/>
      <c r="AK11" s="201"/>
      <c r="AL11" s="826"/>
      <c r="AM11" s="860"/>
      <c r="AN11" s="234"/>
      <c r="AO11" s="200"/>
      <c r="AP11" s="862"/>
      <c r="AQ11" s="862"/>
      <c r="AR11" s="866"/>
    </row>
    <row r="12" spans="1:45">
      <c r="A12" s="831"/>
      <c r="B12" s="845"/>
      <c r="C12" s="200"/>
      <c r="D12" s="201"/>
      <c r="E12" s="826"/>
      <c r="F12" s="860"/>
      <c r="G12" s="234"/>
      <c r="H12" s="200"/>
      <c r="I12" s="964"/>
      <c r="J12" s="964"/>
      <c r="K12" s="972"/>
      <c r="L12" s="845"/>
      <c r="M12" s="200"/>
      <c r="N12" s="201"/>
      <c r="O12" s="826"/>
      <c r="P12" s="860"/>
      <c r="Q12" s="234"/>
      <c r="R12" s="200"/>
      <c r="S12" s="964"/>
      <c r="T12" s="964"/>
      <c r="U12" s="972"/>
      <c r="V12" s="46"/>
      <c r="W12" s="282"/>
      <c r="X12" s="831"/>
      <c r="Y12" s="845"/>
      <c r="Z12" s="200"/>
      <c r="AA12" s="201"/>
      <c r="AB12" s="826"/>
      <c r="AC12" s="860"/>
      <c r="AD12" s="234"/>
      <c r="AE12" s="200"/>
      <c r="AF12" s="862"/>
      <c r="AG12" s="862"/>
      <c r="AH12" s="866"/>
      <c r="AI12" s="845"/>
      <c r="AJ12" s="200"/>
      <c r="AK12" s="201"/>
      <c r="AL12" s="826"/>
      <c r="AM12" s="860"/>
      <c r="AN12" s="234"/>
      <c r="AO12" s="200"/>
      <c r="AP12" s="862"/>
      <c r="AQ12" s="862"/>
      <c r="AR12" s="866"/>
    </row>
    <row r="13" spans="1:45">
      <c r="A13" s="831"/>
      <c r="B13" s="845"/>
      <c r="C13" s="200"/>
      <c r="D13" s="201"/>
      <c r="E13" s="826"/>
      <c r="F13" s="860"/>
      <c r="G13" s="234"/>
      <c r="H13" s="200"/>
      <c r="I13" s="964"/>
      <c r="J13" s="964"/>
      <c r="K13" s="972"/>
      <c r="L13" s="845"/>
      <c r="M13" s="200"/>
      <c r="N13" s="201"/>
      <c r="O13" s="826"/>
      <c r="P13" s="860"/>
      <c r="Q13" s="234"/>
      <c r="R13" s="200"/>
      <c r="S13" s="964"/>
      <c r="T13" s="964"/>
      <c r="U13" s="972"/>
      <c r="V13" s="46"/>
      <c r="W13" s="282"/>
      <c r="X13" s="831"/>
      <c r="Y13" s="845"/>
      <c r="Z13" s="200"/>
      <c r="AA13" s="201"/>
      <c r="AB13" s="826"/>
      <c r="AC13" s="860"/>
      <c r="AD13" s="234"/>
      <c r="AE13" s="200"/>
      <c r="AF13" s="862"/>
      <c r="AG13" s="862"/>
      <c r="AH13" s="866"/>
      <c r="AI13" s="845"/>
      <c r="AJ13" s="200"/>
      <c r="AK13" s="201"/>
      <c r="AL13" s="826"/>
      <c r="AM13" s="860"/>
      <c r="AN13" s="234"/>
      <c r="AO13" s="200"/>
      <c r="AP13" s="862"/>
      <c r="AQ13" s="862"/>
      <c r="AR13" s="866"/>
    </row>
    <row r="14" spans="1:45">
      <c r="A14" s="831"/>
      <c r="B14" s="845"/>
      <c r="C14" s="200"/>
      <c r="D14" s="201"/>
      <c r="E14" s="826"/>
      <c r="F14" s="860"/>
      <c r="G14" s="234"/>
      <c r="H14" s="200"/>
      <c r="I14" s="964"/>
      <c r="J14" s="964"/>
      <c r="K14" s="972"/>
      <c r="L14" s="845"/>
      <c r="M14" s="200"/>
      <c r="N14" s="201"/>
      <c r="O14" s="826"/>
      <c r="P14" s="860"/>
      <c r="Q14" s="234"/>
      <c r="R14" s="200"/>
      <c r="S14" s="964"/>
      <c r="T14" s="964"/>
      <c r="U14" s="972"/>
      <c r="V14" s="46"/>
      <c r="W14" s="282"/>
      <c r="X14" s="831"/>
      <c r="Y14" s="845"/>
      <c r="Z14" s="200"/>
      <c r="AA14" s="201"/>
      <c r="AB14" s="826"/>
      <c r="AC14" s="860"/>
      <c r="AD14" s="234"/>
      <c r="AE14" s="200"/>
      <c r="AF14" s="862"/>
      <c r="AG14" s="862"/>
      <c r="AH14" s="866"/>
      <c r="AI14" s="845"/>
      <c r="AJ14" s="200"/>
      <c r="AK14" s="201"/>
      <c r="AL14" s="826"/>
      <c r="AM14" s="860"/>
      <c r="AN14" s="234"/>
      <c r="AO14" s="200"/>
      <c r="AP14" s="862"/>
      <c r="AQ14" s="862"/>
      <c r="AR14" s="866"/>
    </row>
    <row r="15" spans="1:45">
      <c r="A15" s="831"/>
      <c r="B15" s="845"/>
      <c r="C15" s="200"/>
      <c r="D15" s="201"/>
      <c r="E15" s="826"/>
      <c r="F15" s="860"/>
      <c r="G15" s="234"/>
      <c r="H15" s="200"/>
      <c r="I15" s="964"/>
      <c r="J15" s="964"/>
      <c r="K15" s="972"/>
      <c r="L15" s="845"/>
      <c r="M15" s="200"/>
      <c r="N15" s="201"/>
      <c r="O15" s="826"/>
      <c r="P15" s="860"/>
      <c r="Q15" s="234"/>
      <c r="R15" s="200"/>
      <c r="S15" s="964"/>
      <c r="T15" s="964"/>
      <c r="U15" s="972"/>
      <c r="V15" s="46"/>
      <c r="W15" s="282"/>
      <c r="X15" s="831"/>
      <c r="Y15" s="845"/>
      <c r="Z15" s="200"/>
      <c r="AA15" s="201"/>
      <c r="AB15" s="826"/>
      <c r="AC15" s="860"/>
      <c r="AD15" s="234"/>
      <c r="AE15" s="200"/>
      <c r="AF15" s="862"/>
      <c r="AG15" s="862"/>
      <c r="AH15" s="866"/>
      <c r="AI15" s="845"/>
      <c r="AJ15" s="200"/>
      <c r="AK15" s="201"/>
      <c r="AL15" s="826"/>
      <c r="AM15" s="860"/>
      <c r="AN15" s="234"/>
      <c r="AO15" s="200"/>
      <c r="AP15" s="862"/>
      <c r="AQ15" s="862"/>
      <c r="AR15" s="866"/>
    </row>
    <row r="16" spans="1:45">
      <c r="A16" s="831"/>
      <c r="B16" s="845"/>
      <c r="C16" s="200"/>
      <c r="D16" s="201"/>
      <c r="E16" s="826"/>
      <c r="F16" s="860"/>
      <c r="G16" s="234"/>
      <c r="H16" s="200"/>
      <c r="I16" s="964"/>
      <c r="J16" s="964"/>
      <c r="K16" s="972"/>
      <c r="L16" s="845"/>
      <c r="M16" s="200"/>
      <c r="N16" s="201"/>
      <c r="O16" s="826"/>
      <c r="P16" s="860"/>
      <c r="Q16" s="234"/>
      <c r="R16" s="200"/>
      <c r="S16" s="964"/>
      <c r="T16" s="964"/>
      <c r="U16" s="972"/>
      <c r="V16" s="46"/>
      <c r="W16" s="282"/>
      <c r="X16" s="831"/>
      <c r="Y16" s="845"/>
      <c r="Z16" s="200"/>
      <c r="AA16" s="201"/>
      <c r="AB16" s="826"/>
      <c r="AC16" s="860"/>
      <c r="AD16" s="234"/>
      <c r="AE16" s="200"/>
      <c r="AF16" s="862"/>
      <c r="AG16" s="862"/>
      <c r="AH16" s="866"/>
      <c r="AI16" s="845"/>
      <c r="AJ16" s="200"/>
      <c r="AK16" s="201"/>
      <c r="AL16" s="826"/>
      <c r="AM16" s="860"/>
      <c r="AN16" s="234"/>
      <c r="AO16" s="200"/>
      <c r="AP16" s="862"/>
      <c r="AQ16" s="862"/>
      <c r="AR16" s="866"/>
    </row>
    <row r="17" spans="1:44">
      <c r="A17" s="831"/>
      <c r="B17" s="845"/>
      <c r="C17" s="200"/>
      <c r="D17" s="201"/>
      <c r="E17" s="826"/>
      <c r="F17" s="860"/>
      <c r="G17" s="234"/>
      <c r="H17" s="200"/>
      <c r="I17" s="964"/>
      <c r="J17" s="964"/>
      <c r="K17" s="972"/>
      <c r="L17" s="845"/>
      <c r="M17" s="200"/>
      <c r="N17" s="201"/>
      <c r="O17" s="826"/>
      <c r="P17" s="860"/>
      <c r="Q17" s="234"/>
      <c r="R17" s="200"/>
      <c r="S17" s="964"/>
      <c r="T17" s="964"/>
      <c r="U17" s="972"/>
      <c r="V17" s="46"/>
      <c r="W17" s="282"/>
      <c r="X17" s="831"/>
      <c r="Y17" s="845"/>
      <c r="Z17" s="200"/>
      <c r="AA17" s="201"/>
      <c r="AB17" s="826"/>
      <c r="AC17" s="860"/>
      <c r="AD17" s="234"/>
      <c r="AE17" s="200"/>
      <c r="AF17" s="862"/>
      <c r="AG17" s="862"/>
      <c r="AH17" s="866"/>
      <c r="AI17" s="845"/>
      <c r="AJ17" s="200"/>
      <c r="AK17" s="201"/>
      <c r="AL17" s="826"/>
      <c r="AM17" s="860"/>
      <c r="AN17" s="234"/>
      <c r="AO17" s="200"/>
      <c r="AP17" s="862"/>
      <c r="AQ17" s="862"/>
      <c r="AR17" s="866"/>
    </row>
    <row r="18" spans="1:44">
      <c r="A18" s="831"/>
      <c r="B18" s="845"/>
      <c r="C18" s="200"/>
      <c r="D18" s="201"/>
      <c r="E18" s="826"/>
      <c r="F18" s="860"/>
      <c r="G18" s="234"/>
      <c r="H18" s="200"/>
      <c r="I18" s="964"/>
      <c r="J18" s="964"/>
      <c r="K18" s="972"/>
      <c r="L18" s="845"/>
      <c r="M18" s="200"/>
      <c r="N18" s="201"/>
      <c r="O18" s="826"/>
      <c r="P18" s="860"/>
      <c r="Q18" s="234"/>
      <c r="R18" s="200"/>
      <c r="S18" s="964"/>
      <c r="T18" s="964"/>
      <c r="U18" s="972"/>
      <c r="V18" s="46"/>
      <c r="W18" s="282"/>
      <c r="X18" s="831"/>
      <c r="Y18" s="845"/>
      <c r="Z18" s="200"/>
      <c r="AA18" s="201"/>
      <c r="AB18" s="826"/>
      <c r="AC18" s="860"/>
      <c r="AD18" s="234"/>
      <c r="AE18" s="200"/>
      <c r="AF18" s="862"/>
      <c r="AG18" s="862"/>
      <c r="AH18" s="866"/>
      <c r="AI18" s="845"/>
      <c r="AJ18" s="200"/>
      <c r="AK18" s="201"/>
      <c r="AL18" s="826"/>
      <c r="AM18" s="860"/>
      <c r="AN18" s="234"/>
      <c r="AO18" s="200"/>
      <c r="AP18" s="862"/>
      <c r="AQ18" s="862"/>
      <c r="AR18" s="866"/>
    </row>
    <row r="19" spans="1:44">
      <c r="A19" s="831"/>
      <c r="B19" s="845"/>
      <c r="C19" s="200"/>
      <c r="D19" s="201"/>
      <c r="E19" s="826"/>
      <c r="F19" s="860"/>
      <c r="G19" s="234"/>
      <c r="H19" s="200"/>
      <c r="I19" s="964"/>
      <c r="J19" s="964"/>
      <c r="K19" s="972"/>
      <c r="L19" s="845"/>
      <c r="M19" s="200"/>
      <c r="N19" s="201"/>
      <c r="O19" s="826"/>
      <c r="P19" s="860"/>
      <c r="Q19" s="234"/>
      <c r="R19" s="200"/>
      <c r="S19" s="964"/>
      <c r="T19" s="964"/>
      <c r="U19" s="972"/>
      <c r="V19" s="46"/>
      <c r="W19" s="282"/>
      <c r="X19" s="831"/>
      <c r="Y19" s="845"/>
      <c r="Z19" s="200"/>
      <c r="AA19" s="201"/>
      <c r="AB19" s="826"/>
      <c r="AC19" s="860"/>
      <c r="AD19" s="234"/>
      <c r="AE19" s="200"/>
      <c r="AF19" s="862"/>
      <c r="AG19" s="862"/>
      <c r="AH19" s="866"/>
      <c r="AI19" s="845"/>
      <c r="AJ19" s="200"/>
      <c r="AK19" s="201"/>
      <c r="AL19" s="826"/>
      <c r="AM19" s="860"/>
      <c r="AN19" s="234"/>
      <c r="AO19" s="200"/>
      <c r="AP19" s="862"/>
      <c r="AQ19" s="862"/>
      <c r="AR19" s="866"/>
    </row>
    <row r="20" spans="1:44">
      <c r="A20" s="831"/>
      <c r="B20" s="845"/>
      <c r="C20" s="200"/>
      <c r="D20" s="201"/>
      <c r="E20" s="826"/>
      <c r="F20" s="860"/>
      <c r="G20" s="234"/>
      <c r="H20" s="200"/>
      <c r="I20" s="964"/>
      <c r="J20" s="964"/>
      <c r="K20" s="972"/>
      <c r="L20" s="845"/>
      <c r="M20" s="200"/>
      <c r="N20" s="201"/>
      <c r="O20" s="826"/>
      <c r="P20" s="860"/>
      <c r="Q20" s="234"/>
      <c r="R20" s="200"/>
      <c r="S20" s="964"/>
      <c r="T20" s="964"/>
      <c r="U20" s="972"/>
      <c r="V20" s="46"/>
      <c r="W20" s="282"/>
      <c r="X20" s="831"/>
      <c r="Y20" s="845"/>
      <c r="Z20" s="200"/>
      <c r="AA20" s="201"/>
      <c r="AB20" s="826"/>
      <c r="AC20" s="860"/>
      <c r="AD20" s="234"/>
      <c r="AE20" s="200"/>
      <c r="AF20" s="862"/>
      <c r="AG20" s="862"/>
      <c r="AH20" s="866"/>
      <c r="AI20" s="845"/>
      <c r="AJ20" s="200"/>
      <c r="AK20" s="201"/>
      <c r="AL20" s="826"/>
      <c r="AM20" s="860"/>
      <c r="AN20" s="234"/>
      <c r="AO20" s="200"/>
      <c r="AP20" s="862"/>
      <c r="AQ20" s="862"/>
      <c r="AR20" s="866"/>
    </row>
    <row r="21" spans="1:44">
      <c r="A21" s="831"/>
      <c r="B21" s="845"/>
      <c r="C21" s="200"/>
      <c r="D21" s="201"/>
      <c r="E21" s="826"/>
      <c r="F21" s="860"/>
      <c r="G21" s="234"/>
      <c r="H21" s="200"/>
      <c r="I21" s="964"/>
      <c r="J21" s="964"/>
      <c r="K21" s="972"/>
      <c r="L21" s="845"/>
      <c r="M21" s="200"/>
      <c r="N21" s="201"/>
      <c r="O21" s="826"/>
      <c r="P21" s="860"/>
      <c r="Q21" s="234"/>
      <c r="R21" s="200"/>
      <c r="S21" s="964"/>
      <c r="T21" s="964"/>
      <c r="U21" s="972"/>
      <c r="V21" s="46"/>
      <c r="W21" s="282"/>
      <c r="X21" s="831"/>
      <c r="Y21" s="845"/>
      <c r="Z21" s="200"/>
      <c r="AA21" s="201"/>
      <c r="AB21" s="826"/>
      <c r="AC21" s="860"/>
      <c r="AD21" s="234"/>
      <c r="AE21" s="200"/>
      <c r="AF21" s="862"/>
      <c r="AG21" s="862"/>
      <c r="AH21" s="866"/>
      <c r="AI21" s="845"/>
      <c r="AJ21" s="200"/>
      <c r="AK21" s="201"/>
      <c r="AL21" s="826"/>
      <c r="AM21" s="860"/>
      <c r="AN21" s="234"/>
      <c r="AO21" s="200"/>
      <c r="AP21" s="862"/>
      <c r="AQ21" s="862"/>
      <c r="AR21" s="866"/>
    </row>
    <row r="22" spans="1:44">
      <c r="A22" s="831"/>
      <c r="B22" s="845"/>
      <c r="C22" s="200"/>
      <c r="D22" s="201"/>
      <c r="E22" s="826"/>
      <c r="F22" s="860"/>
      <c r="G22" s="234"/>
      <c r="H22" s="200"/>
      <c r="I22" s="964"/>
      <c r="J22" s="964"/>
      <c r="K22" s="972"/>
      <c r="L22" s="845"/>
      <c r="M22" s="200"/>
      <c r="N22" s="201"/>
      <c r="O22" s="826"/>
      <c r="P22" s="860"/>
      <c r="Q22" s="234"/>
      <c r="R22" s="200"/>
      <c r="S22" s="964"/>
      <c r="T22" s="964"/>
      <c r="U22" s="972"/>
      <c r="V22" s="46"/>
      <c r="W22" s="282"/>
      <c r="X22" s="831"/>
      <c r="Y22" s="845"/>
      <c r="Z22" s="200"/>
      <c r="AA22" s="201"/>
      <c r="AB22" s="826"/>
      <c r="AC22" s="860"/>
      <c r="AD22" s="234"/>
      <c r="AE22" s="200"/>
      <c r="AF22" s="862"/>
      <c r="AG22" s="862"/>
      <c r="AH22" s="866"/>
      <c r="AI22" s="845"/>
      <c r="AJ22" s="200"/>
      <c r="AK22" s="201"/>
      <c r="AL22" s="826"/>
      <c r="AM22" s="860"/>
      <c r="AN22" s="234"/>
      <c r="AO22" s="200"/>
      <c r="AP22" s="862"/>
      <c r="AQ22" s="862"/>
      <c r="AR22" s="866"/>
    </row>
    <row r="23" spans="1:44">
      <c r="A23" s="831"/>
      <c r="B23" s="845"/>
      <c r="C23" s="200"/>
      <c r="D23" s="201"/>
      <c r="E23" s="826"/>
      <c r="F23" s="860"/>
      <c r="G23" s="234"/>
      <c r="H23" s="200"/>
      <c r="I23" s="964"/>
      <c r="J23" s="964"/>
      <c r="K23" s="972"/>
      <c r="L23" s="845"/>
      <c r="M23" s="200"/>
      <c r="N23" s="201"/>
      <c r="O23" s="826"/>
      <c r="P23" s="860"/>
      <c r="Q23" s="234"/>
      <c r="R23" s="200"/>
      <c r="S23" s="964"/>
      <c r="T23" s="964"/>
      <c r="U23" s="972"/>
      <c r="V23" s="46"/>
      <c r="W23" s="282"/>
      <c r="X23" s="831"/>
      <c r="Y23" s="845"/>
      <c r="Z23" s="200"/>
      <c r="AA23" s="201"/>
      <c r="AB23" s="826"/>
      <c r="AC23" s="860"/>
      <c r="AD23" s="234"/>
      <c r="AE23" s="200"/>
      <c r="AF23" s="862"/>
      <c r="AG23" s="862"/>
      <c r="AH23" s="866"/>
      <c r="AI23" s="845"/>
      <c r="AJ23" s="200"/>
      <c r="AK23" s="201"/>
      <c r="AL23" s="826"/>
      <c r="AM23" s="860"/>
      <c r="AN23" s="234"/>
      <c r="AO23" s="200"/>
      <c r="AP23" s="862"/>
      <c r="AQ23" s="862"/>
      <c r="AR23" s="866"/>
    </row>
    <row r="24" spans="1:44">
      <c r="A24" s="831"/>
      <c r="B24" s="845"/>
      <c r="C24" s="200"/>
      <c r="D24" s="201"/>
      <c r="E24" s="826"/>
      <c r="F24" s="860"/>
      <c r="G24" s="234"/>
      <c r="H24" s="200"/>
      <c r="I24" s="964"/>
      <c r="J24" s="964"/>
      <c r="K24" s="972"/>
      <c r="L24" s="845"/>
      <c r="M24" s="200"/>
      <c r="N24" s="201"/>
      <c r="O24" s="826"/>
      <c r="P24" s="860"/>
      <c r="Q24" s="234"/>
      <c r="R24" s="200"/>
      <c r="S24" s="964"/>
      <c r="T24" s="964"/>
      <c r="U24" s="972"/>
      <c r="V24" s="46"/>
      <c r="W24" s="282"/>
      <c r="X24" s="831"/>
      <c r="Y24" s="845"/>
      <c r="Z24" s="200"/>
      <c r="AA24" s="201"/>
      <c r="AB24" s="826"/>
      <c r="AC24" s="860"/>
      <c r="AD24" s="234"/>
      <c r="AE24" s="200"/>
      <c r="AF24" s="862"/>
      <c r="AG24" s="862"/>
      <c r="AH24" s="866"/>
      <c r="AI24" s="845"/>
      <c r="AJ24" s="200"/>
      <c r="AK24" s="201"/>
      <c r="AL24" s="826"/>
      <c r="AM24" s="860"/>
      <c r="AN24" s="234"/>
      <c r="AO24" s="200"/>
      <c r="AP24" s="862"/>
      <c r="AQ24" s="862"/>
      <c r="AR24" s="866"/>
    </row>
    <row r="25" spans="1:44">
      <c r="A25" s="831"/>
      <c r="B25" s="845"/>
      <c r="C25" s="200"/>
      <c r="D25" s="201"/>
      <c r="E25" s="826"/>
      <c r="F25" s="860"/>
      <c r="G25" s="234"/>
      <c r="H25" s="200"/>
      <c r="I25" s="964"/>
      <c r="J25" s="964"/>
      <c r="K25" s="972"/>
      <c r="L25" s="845"/>
      <c r="M25" s="200"/>
      <c r="N25" s="201"/>
      <c r="O25" s="826"/>
      <c r="P25" s="860"/>
      <c r="Q25" s="234"/>
      <c r="R25" s="200"/>
      <c r="S25" s="964"/>
      <c r="T25" s="964"/>
      <c r="U25" s="972"/>
      <c r="V25" s="46"/>
      <c r="W25" s="282"/>
      <c r="X25" s="831"/>
      <c r="Y25" s="845"/>
      <c r="Z25" s="200"/>
      <c r="AA25" s="201"/>
      <c r="AB25" s="826"/>
      <c r="AC25" s="860"/>
      <c r="AD25" s="234"/>
      <c r="AE25" s="200"/>
      <c r="AF25" s="862"/>
      <c r="AG25" s="862"/>
      <c r="AH25" s="866"/>
      <c r="AI25" s="845"/>
      <c r="AJ25" s="200"/>
      <c r="AK25" s="201"/>
      <c r="AL25" s="826"/>
      <c r="AM25" s="860"/>
      <c r="AN25" s="234"/>
      <c r="AO25" s="200"/>
      <c r="AP25" s="862"/>
      <c r="AQ25" s="862"/>
      <c r="AR25" s="866"/>
    </row>
    <row r="26" spans="1:44">
      <c r="A26" s="831"/>
      <c r="B26" s="845"/>
      <c r="C26" s="200"/>
      <c r="D26" s="201"/>
      <c r="E26" s="826"/>
      <c r="F26" s="860"/>
      <c r="G26" s="234"/>
      <c r="H26" s="200"/>
      <c r="I26" s="964"/>
      <c r="J26" s="964"/>
      <c r="K26" s="972"/>
      <c r="L26" s="845"/>
      <c r="M26" s="200"/>
      <c r="N26" s="201"/>
      <c r="O26" s="826"/>
      <c r="P26" s="860"/>
      <c r="Q26" s="234"/>
      <c r="R26" s="200"/>
      <c r="S26" s="964"/>
      <c r="T26" s="964"/>
      <c r="U26" s="972"/>
      <c r="V26" s="46"/>
      <c r="W26" s="282"/>
      <c r="X26" s="831"/>
      <c r="Y26" s="845"/>
      <c r="Z26" s="200"/>
      <c r="AA26" s="201"/>
      <c r="AB26" s="826"/>
      <c r="AC26" s="860"/>
      <c r="AD26" s="234"/>
      <c r="AE26" s="200"/>
      <c r="AF26" s="862"/>
      <c r="AG26" s="862"/>
      <c r="AH26" s="866"/>
      <c r="AI26" s="845"/>
      <c r="AJ26" s="200"/>
      <c r="AK26" s="201"/>
      <c r="AL26" s="826"/>
      <c r="AM26" s="860"/>
      <c r="AN26" s="234"/>
      <c r="AO26" s="200"/>
      <c r="AP26" s="862"/>
      <c r="AQ26" s="862"/>
      <c r="AR26" s="866"/>
    </row>
    <row r="27" spans="1:44">
      <c r="A27" s="831"/>
      <c r="B27" s="845"/>
      <c r="C27" s="200"/>
      <c r="D27" s="201"/>
      <c r="E27" s="826"/>
      <c r="F27" s="860"/>
      <c r="G27" s="234"/>
      <c r="H27" s="200"/>
      <c r="I27" s="964"/>
      <c r="J27" s="964"/>
      <c r="K27" s="972"/>
      <c r="L27" s="845"/>
      <c r="M27" s="200"/>
      <c r="N27" s="201"/>
      <c r="O27" s="826"/>
      <c r="P27" s="860"/>
      <c r="Q27" s="234"/>
      <c r="R27" s="200"/>
      <c r="S27" s="964"/>
      <c r="T27" s="964"/>
      <c r="U27" s="972"/>
      <c r="V27" s="46"/>
      <c r="W27" s="282"/>
      <c r="X27" s="831"/>
      <c r="Y27" s="845"/>
      <c r="Z27" s="200"/>
      <c r="AA27" s="201"/>
      <c r="AB27" s="826"/>
      <c r="AC27" s="860"/>
      <c r="AD27" s="234"/>
      <c r="AE27" s="200"/>
      <c r="AF27" s="862"/>
      <c r="AG27" s="862"/>
      <c r="AH27" s="866"/>
      <c r="AI27" s="845"/>
      <c r="AJ27" s="200"/>
      <c r="AK27" s="201"/>
      <c r="AL27" s="826"/>
      <c r="AM27" s="860"/>
      <c r="AN27" s="234"/>
      <c r="AO27" s="200"/>
      <c r="AP27" s="862"/>
      <c r="AQ27" s="862"/>
      <c r="AR27" s="866"/>
    </row>
    <row r="28" spans="1:44">
      <c r="A28" s="831"/>
      <c r="B28" s="845"/>
      <c r="C28" s="200"/>
      <c r="D28" s="201"/>
      <c r="E28" s="826"/>
      <c r="F28" s="860"/>
      <c r="G28" s="234"/>
      <c r="H28" s="200"/>
      <c r="I28" s="964"/>
      <c r="J28" s="964"/>
      <c r="K28" s="972"/>
      <c r="L28" s="845"/>
      <c r="M28" s="200"/>
      <c r="N28" s="201"/>
      <c r="O28" s="826"/>
      <c r="P28" s="860"/>
      <c r="Q28" s="234"/>
      <c r="R28" s="200"/>
      <c r="S28" s="964"/>
      <c r="T28" s="964"/>
      <c r="U28" s="972"/>
      <c r="V28" s="46"/>
      <c r="W28" s="282"/>
      <c r="X28" s="831"/>
      <c r="Y28" s="845"/>
      <c r="Z28" s="200"/>
      <c r="AA28" s="201"/>
      <c r="AB28" s="826"/>
      <c r="AC28" s="860"/>
      <c r="AD28" s="234"/>
      <c r="AE28" s="200"/>
      <c r="AF28" s="862"/>
      <c r="AG28" s="862"/>
      <c r="AH28" s="866"/>
      <c r="AI28" s="845"/>
      <c r="AJ28" s="200"/>
      <c r="AK28" s="201"/>
      <c r="AL28" s="826"/>
      <c r="AM28" s="860"/>
      <c r="AN28" s="234"/>
      <c r="AO28" s="200"/>
      <c r="AP28" s="862"/>
      <c r="AQ28" s="862"/>
      <c r="AR28" s="866"/>
    </row>
    <row r="29" spans="1:44">
      <c r="A29" s="831"/>
      <c r="B29" s="845"/>
      <c r="C29" s="200"/>
      <c r="D29" s="201"/>
      <c r="E29" s="826"/>
      <c r="F29" s="860"/>
      <c r="G29" s="234"/>
      <c r="H29" s="200"/>
      <c r="I29" s="964"/>
      <c r="J29" s="964"/>
      <c r="K29" s="972"/>
      <c r="L29" s="845"/>
      <c r="M29" s="200"/>
      <c r="N29" s="201"/>
      <c r="O29" s="826"/>
      <c r="P29" s="860"/>
      <c r="Q29" s="234"/>
      <c r="R29" s="200"/>
      <c r="S29" s="964"/>
      <c r="T29" s="964"/>
      <c r="U29" s="972"/>
      <c r="V29" s="46"/>
      <c r="W29" s="282"/>
      <c r="X29" s="831"/>
      <c r="Y29" s="845"/>
      <c r="Z29" s="200"/>
      <c r="AA29" s="201"/>
      <c r="AB29" s="826"/>
      <c r="AC29" s="860"/>
      <c r="AD29" s="234"/>
      <c r="AE29" s="200"/>
      <c r="AF29" s="862"/>
      <c r="AG29" s="862"/>
      <c r="AH29" s="866"/>
      <c r="AI29" s="845"/>
      <c r="AJ29" s="200"/>
      <c r="AK29" s="201"/>
      <c r="AL29" s="826"/>
      <c r="AM29" s="860"/>
      <c r="AN29" s="234"/>
      <c r="AO29" s="200"/>
      <c r="AP29" s="862"/>
      <c r="AQ29" s="862"/>
      <c r="AR29" s="866"/>
    </row>
    <row r="30" spans="1:44">
      <c r="A30" s="831"/>
      <c r="B30" s="845"/>
      <c r="C30" s="200"/>
      <c r="D30" s="201"/>
      <c r="E30" s="826"/>
      <c r="F30" s="860"/>
      <c r="G30" s="234"/>
      <c r="H30" s="200"/>
      <c r="I30" s="964"/>
      <c r="J30" s="964"/>
      <c r="K30" s="972"/>
      <c r="L30" s="845"/>
      <c r="M30" s="200"/>
      <c r="N30" s="201"/>
      <c r="O30" s="826"/>
      <c r="P30" s="860"/>
      <c r="Q30" s="234"/>
      <c r="R30" s="200"/>
      <c r="S30" s="964"/>
      <c r="T30" s="964"/>
      <c r="U30" s="972"/>
      <c r="V30" s="46"/>
      <c r="W30" s="282"/>
      <c r="X30" s="831"/>
      <c r="Y30" s="845"/>
      <c r="Z30" s="200"/>
      <c r="AA30" s="201"/>
      <c r="AB30" s="826"/>
      <c r="AC30" s="860"/>
      <c r="AD30" s="234"/>
      <c r="AE30" s="200"/>
      <c r="AF30" s="862"/>
      <c r="AG30" s="862"/>
      <c r="AH30" s="866"/>
      <c r="AI30" s="845"/>
      <c r="AJ30" s="200"/>
      <c r="AK30" s="201"/>
      <c r="AL30" s="826"/>
      <c r="AM30" s="860"/>
      <c r="AN30" s="234"/>
      <c r="AO30" s="200"/>
      <c r="AP30" s="862"/>
      <c r="AQ30" s="862"/>
      <c r="AR30" s="866"/>
    </row>
    <row r="31" spans="1:44">
      <c r="A31" s="831"/>
      <c r="B31" s="845"/>
      <c r="C31" s="853"/>
      <c r="D31" s="201"/>
      <c r="E31" s="826"/>
      <c r="F31" s="860"/>
      <c r="G31" s="234"/>
      <c r="H31" s="200"/>
      <c r="I31" s="964"/>
      <c r="J31" s="964"/>
      <c r="K31" s="972"/>
      <c r="L31" s="845"/>
      <c r="M31" s="853"/>
      <c r="N31" s="201"/>
      <c r="O31" s="826"/>
      <c r="P31" s="860"/>
      <c r="Q31" s="234"/>
      <c r="R31" s="200"/>
      <c r="S31" s="964"/>
      <c r="T31" s="964"/>
      <c r="U31" s="972"/>
      <c r="V31" s="46"/>
      <c r="W31" s="282"/>
      <c r="X31" s="831"/>
      <c r="Y31" s="845"/>
      <c r="Z31" s="853"/>
      <c r="AA31" s="201"/>
      <c r="AB31" s="826"/>
      <c r="AC31" s="860"/>
      <c r="AD31" s="234"/>
      <c r="AE31" s="200"/>
      <c r="AF31" s="862"/>
      <c r="AG31" s="862"/>
      <c r="AH31" s="866"/>
      <c r="AI31" s="845"/>
      <c r="AJ31" s="853"/>
      <c r="AK31" s="201"/>
      <c r="AL31" s="826"/>
      <c r="AM31" s="860"/>
      <c r="AN31" s="234"/>
      <c r="AO31" s="200"/>
      <c r="AP31" s="862"/>
      <c r="AQ31" s="862"/>
      <c r="AR31" s="866"/>
    </row>
    <row r="32" spans="1:44" s="52" customFormat="1" ht="14">
      <c r="A32" s="832" t="s">
        <v>1932</v>
      </c>
      <c r="B32" s="851">
        <f>SUM(B7:B31)</f>
        <v>0</v>
      </c>
      <c r="C32" s="235">
        <f t="shared" ref="C32" si="0">SUM(C7:C31)</f>
        <v>0</v>
      </c>
      <c r="D32" s="852" t="e">
        <f>C32/B32</f>
        <v>#DIV/0!</v>
      </c>
      <c r="E32" s="855"/>
      <c r="F32" s="855"/>
      <c r="G32" s="855"/>
      <c r="H32" s="855"/>
      <c r="I32" s="965"/>
      <c r="J32" s="965"/>
      <c r="K32" s="973"/>
      <c r="L32" s="851">
        <f>SUM(L7:L31)</f>
        <v>0</v>
      </c>
      <c r="M32" s="235">
        <f t="shared" ref="M32" si="1">SUM(M7:M31)</f>
        <v>0</v>
      </c>
      <c r="N32" s="852" t="e">
        <f>M32/L32</f>
        <v>#DIV/0!</v>
      </c>
      <c r="O32" s="855"/>
      <c r="P32" s="855"/>
      <c r="Q32" s="855"/>
      <c r="R32" s="855"/>
      <c r="S32" s="965"/>
      <c r="T32" s="965"/>
      <c r="U32" s="973"/>
      <c r="V32" s="51"/>
      <c r="W32" s="283" t="s">
        <v>1727</v>
      </c>
      <c r="X32" s="832" t="s">
        <v>1932</v>
      </c>
      <c r="Y32" s="851"/>
      <c r="Z32" s="235"/>
      <c r="AA32" s="852"/>
      <c r="AB32" s="855"/>
      <c r="AC32" s="855"/>
      <c r="AD32" s="855"/>
      <c r="AE32" s="855"/>
      <c r="AF32" s="863"/>
      <c r="AG32" s="863"/>
      <c r="AH32" s="867"/>
      <c r="AI32" s="851"/>
      <c r="AJ32" s="235"/>
      <c r="AK32" s="852"/>
      <c r="AL32" s="855"/>
      <c r="AM32" s="855"/>
      <c r="AN32" s="855"/>
      <c r="AO32" s="855"/>
      <c r="AP32" s="863"/>
      <c r="AQ32" s="863"/>
      <c r="AR32" s="867"/>
    </row>
    <row r="33" spans="1:44" s="52" customFormat="1" ht="30">
      <c r="A33" s="833" t="s">
        <v>1933</v>
      </c>
      <c r="B33" s="846"/>
      <c r="C33" s="854"/>
      <c r="D33" s="203"/>
      <c r="E33" s="827"/>
      <c r="F33" s="827"/>
      <c r="G33" s="202"/>
      <c r="H33" s="202"/>
      <c r="I33" s="966"/>
      <c r="J33" s="966"/>
      <c r="K33" s="974"/>
      <c r="L33" s="846"/>
      <c r="M33" s="854"/>
      <c r="N33" s="203"/>
      <c r="O33" s="827"/>
      <c r="P33" s="827"/>
      <c r="Q33" s="202"/>
      <c r="R33" s="202"/>
      <c r="S33" s="966"/>
      <c r="T33" s="966"/>
      <c r="U33" s="974"/>
      <c r="V33" s="51"/>
      <c r="W33" s="284"/>
      <c r="X33" s="833"/>
      <c r="Y33" s="846"/>
      <c r="Z33" s="854"/>
      <c r="AA33" s="203"/>
      <c r="AB33" s="827"/>
      <c r="AC33" s="827"/>
      <c r="AD33" s="202"/>
      <c r="AE33" s="202"/>
      <c r="AF33" s="864"/>
      <c r="AG33" s="864"/>
      <c r="AH33" s="868"/>
      <c r="AI33" s="846"/>
      <c r="AJ33" s="854"/>
      <c r="AK33" s="203"/>
      <c r="AL33" s="827"/>
      <c r="AM33" s="827"/>
      <c r="AN33" s="202"/>
      <c r="AO33" s="202"/>
      <c r="AP33" s="864"/>
      <c r="AQ33" s="864"/>
      <c r="AR33" s="868"/>
    </row>
    <row r="34" spans="1:44" s="52" customFormat="1" ht="14">
      <c r="A34" s="834" t="s">
        <v>1934</v>
      </c>
      <c r="B34" s="847">
        <f>SUM(B32:B33)</f>
        <v>0</v>
      </c>
      <c r="C34" s="848">
        <f t="shared" ref="C34" si="2">SUM(C32:C33)</f>
        <v>0</v>
      </c>
      <c r="D34" s="849" t="e">
        <f>C34/B34</f>
        <v>#DIV/0!</v>
      </c>
      <c r="E34" s="857"/>
      <c r="F34" s="857"/>
      <c r="G34" s="855"/>
      <c r="H34" s="855"/>
      <c r="I34" s="965"/>
      <c r="J34" s="965"/>
      <c r="K34" s="973"/>
      <c r="L34" s="847">
        <f>SUM(L32:L33)</f>
        <v>0</v>
      </c>
      <c r="M34" s="848">
        <f t="shared" ref="M34" si="3">SUM(M32:M33)</f>
        <v>0</v>
      </c>
      <c r="N34" s="849" t="e">
        <f>M34/L34</f>
        <v>#DIV/0!</v>
      </c>
      <c r="O34" s="857"/>
      <c r="P34" s="857"/>
      <c r="Q34" s="927"/>
      <c r="R34" s="928"/>
      <c r="S34" s="965"/>
      <c r="T34" s="965"/>
      <c r="U34" s="973"/>
      <c r="V34" s="51"/>
      <c r="W34" s="870" t="s">
        <v>1727</v>
      </c>
      <c r="X34" s="834" t="s">
        <v>1934</v>
      </c>
      <c r="Y34" s="847"/>
      <c r="Z34" s="848"/>
      <c r="AA34" s="849"/>
      <c r="AB34" s="857"/>
      <c r="AC34" s="857"/>
      <c r="AD34" s="850"/>
      <c r="AE34" s="850"/>
      <c r="AF34" s="865"/>
      <c r="AG34" s="865"/>
      <c r="AH34" s="869"/>
      <c r="AI34" s="847"/>
      <c r="AJ34" s="848"/>
      <c r="AK34" s="849"/>
      <c r="AL34" s="857"/>
      <c r="AM34" s="857"/>
      <c r="AN34" s="850"/>
      <c r="AO34" s="850"/>
      <c r="AP34" s="865"/>
      <c r="AQ34" s="865"/>
      <c r="AR34" s="869"/>
    </row>
    <row r="35" spans="1:44">
      <c r="A35" s="316"/>
      <c r="B35" s="317"/>
      <c r="C35" s="317"/>
      <c r="D35" s="318"/>
      <c r="E35" s="318"/>
      <c r="F35" s="318"/>
      <c r="G35" s="317"/>
      <c r="H35" s="317"/>
      <c r="I35" s="967"/>
      <c r="J35" s="967"/>
      <c r="K35" s="975"/>
      <c r="S35" s="967"/>
      <c r="T35" s="967"/>
      <c r="U35" s="975"/>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52" priority="27" operator="lessThan">
      <formula>$B$2</formula>
    </cfRule>
  </conditionalFormatting>
  <conditionalFormatting sqref="D34:F34">
    <cfRule type="cellIs" dxfId="51" priority="29" operator="lessThan">
      <formula>$B$2</formula>
    </cfRule>
  </conditionalFormatting>
  <conditionalFormatting sqref="I34:K34">
    <cfRule type="cellIs" dxfId="49" priority="16" operator="lessThan">
      <formula>$B$2</formula>
    </cfRule>
  </conditionalFormatting>
  <conditionalFormatting sqref="N7:P31 N32">
    <cfRule type="cellIs" dxfId="48" priority="7" operator="lessThan">
      <formula>$B$2</formula>
    </cfRule>
  </conditionalFormatting>
  <conditionalFormatting sqref="N34:P34">
    <cfRule type="cellIs" dxfId="47" priority="8" operator="lessThan">
      <formula>$B$2</formula>
    </cfRule>
  </conditionalFormatting>
  <conditionalFormatting sqref="S7:U32">
    <cfRule type="cellIs" dxfId="45" priority="2" operator="lessThan">
      <formula>$B$2</formula>
    </cfRule>
  </conditionalFormatting>
  <conditionalFormatting sqref="S34:U34">
    <cfRule type="cellIs" dxfId="44" priority="1" operator="lessThan">
      <formula>$B$2</formula>
    </cfRule>
  </conditionalFormatting>
  <conditionalFormatting sqref="AA34:AC34 AF34:AH34">
    <cfRule type="cellIs" dxfId="43" priority="17" operator="lessThan">
      <formula>$B$2</formula>
    </cfRule>
  </conditionalFormatting>
  <conditionalFormatting sqref="AK7:AM31 AP7:AR32 AK32">
    <cfRule type="cellIs" dxfId="41" priority="5" operator="lessThan">
      <formula>$B$2</formula>
    </cfRule>
  </conditionalFormatting>
  <conditionalFormatting sqref="AK34:AM34 AP34:AR34">
    <cfRule type="cellIs" dxfId="40"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1"/>
      <c r="B6" s="952" t="s">
        <v>1289</v>
      </c>
      <c r="C6" s="930">
        <f>ClaimInfo!$C$6</f>
        <v>0</v>
      </c>
      <c r="D6" s="950" t="s">
        <v>1715</v>
      </c>
      <c r="E6" s="950">
        <f>ClaimInfo!$C$7</f>
        <v>0</v>
      </c>
      <c r="F6" s="948"/>
      <c r="G6" s="948"/>
      <c r="H6" s="953"/>
      <c r="I6" s="930">
        <f>ClaimInfo!$C$11</f>
        <v>0</v>
      </c>
      <c r="J6" s="950" t="s">
        <v>1715</v>
      </c>
      <c r="K6" s="950">
        <f>ClaimInfo!$C$12</f>
        <v>0</v>
      </c>
      <c r="L6" s="954"/>
      <c r="M6" s="954"/>
      <c r="N6" s="727"/>
      <c r="P6" s="483"/>
      <c r="Q6" s="484"/>
      <c r="R6" s="1183" t="e">
        <f>LatestYr</f>
        <v>#REF!</v>
      </c>
      <c r="S6" s="1184"/>
      <c r="T6" s="1184"/>
      <c r="U6" s="1184"/>
      <c r="V6" s="1184"/>
      <c r="W6" s="1185"/>
      <c r="X6" s="1183" t="e">
        <f>LastYr</f>
        <v>#REF!</v>
      </c>
      <c r="Y6" s="1184"/>
      <c r="Z6" s="1184"/>
      <c r="AA6" s="1184"/>
      <c r="AB6" s="1184"/>
      <c r="AC6" s="1185"/>
    </row>
    <row r="7" spans="1:29" ht="30">
      <c r="A7" s="485" t="s">
        <v>1929</v>
      </c>
      <c r="B7" s="486" t="s">
        <v>1927</v>
      </c>
      <c r="C7" s="487" t="s">
        <v>1721</v>
      </c>
      <c r="D7" s="883" t="s">
        <v>1722</v>
      </c>
      <c r="E7" s="883" t="s">
        <v>1199</v>
      </c>
      <c r="F7" s="883" t="s">
        <v>1928</v>
      </c>
      <c r="G7" s="883" t="s">
        <v>1935</v>
      </c>
      <c r="H7" s="486" t="s">
        <v>1936</v>
      </c>
      <c r="I7" s="487" t="s">
        <v>1721</v>
      </c>
      <c r="J7" s="488" t="s">
        <v>1722</v>
      </c>
      <c r="K7" s="488" t="s">
        <v>1199</v>
      </c>
      <c r="L7" s="488" t="s">
        <v>1928</v>
      </c>
      <c r="M7" s="488" t="s">
        <v>1935</v>
      </c>
      <c r="N7" s="486" t="s">
        <v>1936</v>
      </c>
      <c r="P7" s="873" t="s">
        <v>1929</v>
      </c>
      <c r="Q7" s="876" t="s">
        <v>1930</v>
      </c>
      <c r="R7" s="874" t="s">
        <v>1721</v>
      </c>
      <c r="S7" s="875" t="s">
        <v>1722</v>
      </c>
      <c r="T7" s="875" t="s">
        <v>1199</v>
      </c>
      <c r="U7" s="875" t="s">
        <v>1928</v>
      </c>
      <c r="V7" s="875" t="s">
        <v>1935</v>
      </c>
      <c r="W7" s="876" t="s">
        <v>1936</v>
      </c>
      <c r="X7" s="874" t="s">
        <v>1721</v>
      </c>
      <c r="Y7" s="875" t="s">
        <v>1722</v>
      </c>
      <c r="Z7" s="875" t="s">
        <v>1199</v>
      </c>
      <c r="AA7" s="875" t="s">
        <v>1928</v>
      </c>
      <c r="AB7" s="875" t="s">
        <v>1935</v>
      </c>
      <c r="AC7" s="876" t="s">
        <v>1936</v>
      </c>
    </row>
    <row r="8" spans="1:29">
      <c r="A8" s="282"/>
      <c r="B8" s="297"/>
      <c r="C8" s="249"/>
      <c r="D8" s="191"/>
      <c r="E8" s="192"/>
      <c r="F8" s="191"/>
      <c r="G8" s="193"/>
      <c r="H8" s="239"/>
      <c r="I8" s="249"/>
      <c r="J8" s="191"/>
      <c r="K8" s="192"/>
      <c r="L8" s="191"/>
      <c r="M8" s="193"/>
      <c r="N8" s="239"/>
      <c r="P8" s="29"/>
      <c r="Q8" s="856"/>
      <c r="R8" s="29"/>
      <c r="S8" s="29"/>
      <c r="T8" s="29"/>
      <c r="U8" s="29"/>
      <c r="V8" s="29"/>
      <c r="W8" s="856"/>
      <c r="X8" s="29"/>
      <c r="Y8" s="29"/>
      <c r="Z8" s="29"/>
      <c r="AA8" s="29"/>
      <c r="AB8" s="29"/>
      <c r="AC8" s="856"/>
    </row>
    <row r="9" spans="1:29">
      <c r="A9" s="282"/>
      <c r="B9" s="297"/>
      <c r="C9" s="249"/>
      <c r="D9" s="191"/>
      <c r="E9" s="192"/>
      <c r="F9" s="191"/>
      <c r="G9" s="193"/>
      <c r="H9" s="239"/>
      <c r="I9" s="249"/>
      <c r="J9" s="191"/>
      <c r="K9" s="192"/>
      <c r="L9" s="191"/>
      <c r="M9" s="193"/>
      <c r="N9" s="239"/>
      <c r="P9" s="29"/>
      <c r="Q9" s="856"/>
      <c r="R9" s="29"/>
      <c r="S9" s="29"/>
      <c r="T9" s="29"/>
      <c r="U9" s="29"/>
      <c r="V9" s="29"/>
      <c r="W9" s="856"/>
      <c r="X9" s="29"/>
      <c r="Y9" s="29"/>
      <c r="Z9" s="29"/>
      <c r="AA9" s="29"/>
      <c r="AB9" s="29"/>
      <c r="AC9" s="856"/>
    </row>
    <row r="10" spans="1:29">
      <c r="A10" s="282"/>
      <c r="B10" s="297"/>
      <c r="C10" s="249"/>
      <c r="D10" s="191"/>
      <c r="E10" s="192"/>
      <c r="F10" s="191"/>
      <c r="G10" s="193"/>
      <c r="H10" s="239"/>
      <c r="I10" s="249"/>
      <c r="J10" s="191"/>
      <c r="K10" s="192"/>
      <c r="L10" s="191"/>
      <c r="M10" s="193"/>
      <c r="N10" s="239"/>
      <c r="P10" s="29"/>
      <c r="Q10" s="856"/>
      <c r="R10" s="29"/>
      <c r="S10" s="29"/>
      <c r="T10" s="29"/>
      <c r="U10" s="29"/>
      <c r="V10" s="29"/>
      <c r="W10" s="856"/>
      <c r="X10" s="29"/>
      <c r="Y10" s="29"/>
      <c r="Z10" s="29"/>
      <c r="AA10" s="29"/>
      <c r="AB10" s="29"/>
      <c r="AC10" s="856"/>
    </row>
    <row r="11" spans="1:29">
      <c r="A11" s="282"/>
      <c r="B11" s="297"/>
      <c r="C11" s="249"/>
      <c r="D11" s="191"/>
      <c r="E11" s="192"/>
      <c r="F11" s="191"/>
      <c r="G11" s="193"/>
      <c r="H11" s="239"/>
      <c r="I11" s="249"/>
      <c r="J11" s="191"/>
      <c r="K11" s="192"/>
      <c r="L11" s="191"/>
      <c r="M11" s="193"/>
      <c r="N11" s="239"/>
      <c r="P11" s="29"/>
      <c r="Q11" s="856"/>
      <c r="R11" s="29"/>
      <c r="S11" s="29"/>
      <c r="T11" s="29"/>
      <c r="U11" s="29"/>
      <c r="V11" s="29"/>
      <c r="W11" s="856"/>
      <c r="X11" s="29"/>
      <c r="Y11" s="29"/>
      <c r="Z11" s="29"/>
      <c r="AA11" s="29"/>
      <c r="AB11" s="29"/>
      <c r="AC11" s="856"/>
    </row>
    <row r="12" spans="1:29">
      <c r="A12" s="282"/>
      <c r="B12" s="297"/>
      <c r="C12" s="249"/>
      <c r="D12" s="191"/>
      <c r="E12" s="192"/>
      <c r="F12" s="191"/>
      <c r="G12" s="193"/>
      <c r="H12" s="239"/>
      <c r="I12" s="249"/>
      <c r="J12" s="191"/>
      <c r="K12" s="192"/>
      <c r="L12" s="191"/>
      <c r="M12" s="193"/>
      <c r="N12" s="239"/>
      <c r="P12" s="29"/>
      <c r="Q12" s="856"/>
      <c r="R12" s="29"/>
      <c r="S12" s="29"/>
      <c r="T12" s="29"/>
      <c r="U12" s="29"/>
      <c r="V12" s="29"/>
      <c r="W12" s="856"/>
      <c r="X12" s="29"/>
      <c r="Y12" s="29"/>
      <c r="Z12" s="29"/>
      <c r="AA12" s="29"/>
      <c r="AB12" s="29"/>
      <c r="AC12" s="856"/>
    </row>
    <row r="13" spans="1:29">
      <c r="A13" s="282"/>
      <c r="B13" s="297"/>
      <c r="C13" s="249"/>
      <c r="D13" s="191"/>
      <c r="E13" s="192"/>
      <c r="F13" s="191"/>
      <c r="G13" s="193"/>
      <c r="H13" s="239"/>
      <c r="I13" s="249"/>
      <c r="J13" s="191"/>
      <c r="K13" s="192"/>
      <c r="L13" s="191"/>
      <c r="M13" s="193"/>
      <c r="N13" s="239"/>
      <c r="P13" s="29"/>
      <c r="Q13" s="856"/>
      <c r="R13" s="29"/>
      <c r="S13" s="29"/>
      <c r="T13" s="29"/>
      <c r="U13" s="29"/>
      <c r="V13" s="29"/>
      <c r="W13" s="856"/>
      <c r="X13" s="29"/>
      <c r="Y13" s="29"/>
      <c r="Z13" s="29"/>
      <c r="AA13" s="29"/>
      <c r="AB13" s="29"/>
      <c r="AC13" s="856"/>
    </row>
    <row r="14" spans="1:29">
      <c r="A14" s="282"/>
      <c r="B14" s="297"/>
      <c r="C14" s="249"/>
      <c r="D14" s="191"/>
      <c r="E14" s="192"/>
      <c r="F14" s="191"/>
      <c r="G14" s="193"/>
      <c r="H14" s="239"/>
      <c r="I14" s="249"/>
      <c r="J14" s="191"/>
      <c r="K14" s="192"/>
      <c r="L14" s="191"/>
      <c r="M14" s="193"/>
      <c r="N14" s="239"/>
      <c r="P14" s="29"/>
      <c r="Q14" s="856"/>
      <c r="R14" s="29"/>
      <c r="S14" s="29"/>
      <c r="T14" s="29"/>
      <c r="U14" s="29"/>
      <c r="V14" s="29"/>
      <c r="W14" s="856"/>
      <c r="X14" s="29"/>
      <c r="Y14" s="29"/>
      <c r="Z14" s="29"/>
      <c r="AA14" s="29"/>
      <c r="AB14" s="29"/>
      <c r="AC14" s="856"/>
    </row>
    <row r="15" spans="1:29">
      <c r="A15" s="282"/>
      <c r="B15" s="297"/>
      <c r="C15" s="249"/>
      <c r="D15" s="191"/>
      <c r="E15" s="192"/>
      <c r="F15" s="191"/>
      <c r="G15" s="193"/>
      <c r="H15" s="239"/>
      <c r="I15" s="249"/>
      <c r="J15" s="191"/>
      <c r="K15" s="192"/>
      <c r="L15" s="191"/>
      <c r="M15" s="193"/>
      <c r="N15" s="239"/>
      <c r="P15" s="29"/>
      <c r="Q15" s="856"/>
      <c r="R15" s="29"/>
      <c r="S15" s="29"/>
      <c r="T15" s="29"/>
      <c r="U15" s="29"/>
      <c r="V15" s="29"/>
      <c r="W15" s="856"/>
      <c r="X15" s="29"/>
      <c r="Y15" s="29"/>
      <c r="Z15" s="29"/>
      <c r="AA15" s="29"/>
      <c r="AB15" s="29"/>
      <c r="AC15" s="856"/>
    </row>
    <row r="16" spans="1:29">
      <c r="A16" s="282"/>
      <c r="B16" s="297"/>
      <c r="C16" s="249"/>
      <c r="D16" s="191"/>
      <c r="E16" s="192"/>
      <c r="F16" s="191"/>
      <c r="G16" s="193"/>
      <c r="H16" s="239"/>
      <c r="I16" s="249"/>
      <c r="J16" s="191"/>
      <c r="K16" s="192"/>
      <c r="L16" s="191"/>
      <c r="M16" s="193"/>
      <c r="N16" s="239"/>
      <c r="P16" s="29"/>
      <c r="Q16" s="856"/>
      <c r="R16" s="29"/>
      <c r="S16" s="29"/>
      <c r="T16" s="29"/>
      <c r="U16" s="29"/>
      <c r="V16" s="29"/>
      <c r="W16" s="856"/>
      <c r="X16" s="29"/>
      <c r="Y16" s="29"/>
      <c r="Z16" s="29"/>
      <c r="AA16" s="29"/>
      <c r="AB16" s="29"/>
      <c r="AC16" s="856"/>
    </row>
    <row r="17" spans="1:29">
      <c r="A17" s="282"/>
      <c r="B17" s="297"/>
      <c r="C17" s="249"/>
      <c r="D17" s="191"/>
      <c r="E17" s="192"/>
      <c r="F17" s="191"/>
      <c r="G17" s="193"/>
      <c r="H17" s="239"/>
      <c r="I17" s="249"/>
      <c r="J17" s="191"/>
      <c r="K17" s="192"/>
      <c r="L17" s="191"/>
      <c r="M17" s="193"/>
      <c r="N17" s="239"/>
      <c r="P17" s="29"/>
      <c r="Q17" s="856"/>
      <c r="R17" s="29"/>
      <c r="S17" s="29"/>
      <c r="T17" s="29"/>
      <c r="U17" s="29"/>
      <c r="V17" s="29"/>
      <c r="W17" s="856"/>
      <c r="X17" s="29"/>
      <c r="Y17" s="29"/>
      <c r="Z17" s="29"/>
      <c r="AA17" s="29"/>
      <c r="AB17" s="29"/>
      <c r="AC17" s="856"/>
    </row>
    <row r="18" spans="1:29">
      <c r="A18" s="282"/>
      <c r="B18" s="297"/>
      <c r="C18" s="249"/>
      <c r="D18" s="191"/>
      <c r="E18" s="192"/>
      <c r="F18" s="194"/>
      <c r="G18" s="195"/>
      <c r="H18" s="240"/>
      <c r="I18" s="249"/>
      <c r="J18" s="191"/>
      <c r="K18" s="192"/>
      <c r="L18" s="194"/>
      <c r="M18" s="195"/>
      <c r="N18" s="240"/>
      <c r="P18" s="29"/>
      <c r="Q18" s="856"/>
      <c r="R18" s="29"/>
      <c r="S18" s="29"/>
      <c r="T18" s="29"/>
      <c r="U18" s="29"/>
      <c r="V18" s="29"/>
      <c r="W18" s="856"/>
      <c r="X18" s="29"/>
      <c r="Y18" s="29"/>
      <c r="Z18" s="29"/>
      <c r="AA18" s="29"/>
      <c r="AB18" s="29"/>
      <c r="AC18" s="856"/>
    </row>
    <row r="19" spans="1:29">
      <c r="A19" s="282"/>
      <c r="B19" s="297"/>
      <c r="C19" s="249"/>
      <c r="D19" s="191"/>
      <c r="E19" s="192"/>
      <c r="F19" s="194"/>
      <c r="G19" s="195"/>
      <c r="H19" s="240"/>
      <c r="I19" s="249"/>
      <c r="J19" s="191"/>
      <c r="K19" s="192"/>
      <c r="L19" s="194"/>
      <c r="M19" s="195"/>
      <c r="N19" s="240"/>
      <c r="P19" s="29"/>
      <c r="Q19" s="856"/>
      <c r="R19" s="29"/>
      <c r="S19" s="29"/>
      <c r="T19" s="29"/>
      <c r="U19" s="29"/>
      <c r="V19" s="29"/>
      <c r="W19" s="856"/>
      <c r="X19" s="29"/>
      <c r="Y19" s="29"/>
      <c r="Z19" s="29"/>
      <c r="AA19" s="29"/>
      <c r="AB19" s="29"/>
      <c r="AC19" s="856"/>
    </row>
    <row r="20" spans="1:29">
      <c r="A20" s="282"/>
      <c r="B20" s="297"/>
      <c r="C20" s="249"/>
      <c r="D20" s="191"/>
      <c r="E20" s="192"/>
      <c r="F20" s="194"/>
      <c r="G20" s="195"/>
      <c r="H20" s="240"/>
      <c r="I20" s="249"/>
      <c r="J20" s="191"/>
      <c r="K20" s="192"/>
      <c r="L20" s="194"/>
      <c r="M20" s="195"/>
      <c r="N20" s="240"/>
      <c r="P20" s="29"/>
      <c r="Q20" s="856"/>
      <c r="R20" s="29"/>
      <c r="S20" s="29"/>
      <c r="T20" s="29"/>
      <c r="U20" s="29"/>
      <c r="V20" s="29"/>
      <c r="W20" s="856"/>
      <c r="X20" s="29"/>
      <c r="Y20" s="29"/>
      <c r="Z20" s="29"/>
      <c r="AA20" s="29"/>
      <c r="AB20" s="29"/>
      <c r="AC20" s="856"/>
    </row>
    <row r="21" spans="1:29">
      <c r="A21" s="282"/>
      <c r="B21" s="297"/>
      <c r="C21" s="249"/>
      <c r="D21" s="191"/>
      <c r="E21" s="192"/>
      <c r="F21" s="194"/>
      <c r="G21" s="195"/>
      <c r="H21" s="240"/>
      <c r="I21" s="249"/>
      <c r="J21" s="191"/>
      <c r="K21" s="192"/>
      <c r="L21" s="194"/>
      <c r="M21" s="195"/>
      <c r="N21" s="240"/>
      <c r="P21" s="29"/>
      <c r="Q21" s="856"/>
      <c r="R21" s="29"/>
      <c r="S21" s="29"/>
      <c r="T21" s="29"/>
      <c r="U21" s="29"/>
      <c r="V21" s="29"/>
      <c r="W21" s="856"/>
      <c r="X21" s="29"/>
      <c r="Y21" s="29"/>
      <c r="Z21" s="29"/>
      <c r="AA21" s="29"/>
      <c r="AB21" s="29"/>
      <c r="AC21" s="856"/>
    </row>
    <row r="22" spans="1:29">
      <c r="A22" s="282"/>
      <c r="B22" s="297"/>
      <c r="C22" s="249"/>
      <c r="D22" s="191"/>
      <c r="E22" s="192"/>
      <c r="F22" s="194"/>
      <c r="G22" s="195"/>
      <c r="H22" s="240"/>
      <c r="I22" s="249"/>
      <c r="J22" s="191"/>
      <c r="K22" s="192"/>
      <c r="L22" s="194"/>
      <c r="M22" s="195"/>
      <c r="N22" s="240"/>
      <c r="P22" s="29"/>
      <c r="Q22" s="856"/>
      <c r="R22" s="29"/>
      <c r="S22" s="29"/>
      <c r="T22" s="29"/>
      <c r="U22" s="29"/>
      <c r="V22" s="29"/>
      <c r="W22" s="856"/>
      <c r="X22" s="29"/>
      <c r="Y22" s="29"/>
      <c r="Z22" s="29"/>
      <c r="AA22" s="29"/>
      <c r="AB22" s="29"/>
      <c r="AC22" s="856"/>
    </row>
    <row r="23" spans="1:29">
      <c r="A23" s="285"/>
      <c r="B23" s="299"/>
      <c r="C23" s="250"/>
      <c r="D23" s="244"/>
      <c r="E23" s="245"/>
      <c r="F23" s="246"/>
      <c r="G23" s="247"/>
      <c r="H23" s="248"/>
      <c r="I23" s="250"/>
      <c r="J23" s="244"/>
      <c r="K23" s="245"/>
      <c r="L23" s="246"/>
      <c r="M23" s="247"/>
      <c r="N23" s="248"/>
      <c r="P23" s="29"/>
      <c r="Q23" s="856"/>
      <c r="R23" s="29"/>
      <c r="S23" s="29"/>
      <c r="T23" s="29"/>
      <c r="U23" s="29"/>
      <c r="V23" s="29"/>
      <c r="W23" s="856"/>
      <c r="X23" s="29"/>
      <c r="Y23" s="29"/>
      <c r="Z23" s="29"/>
      <c r="AA23" s="29"/>
      <c r="AB23" s="29"/>
      <c r="AC23" s="856"/>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7" t="s">
        <v>1284</v>
      </c>
      <c r="Q24" s="878"/>
      <c r="R24" s="879"/>
      <c r="S24" s="880"/>
      <c r="T24" s="881"/>
      <c r="U24" s="880"/>
      <c r="V24" s="880"/>
      <c r="W24" s="882"/>
      <c r="X24" s="879"/>
      <c r="Y24" s="880"/>
      <c r="Z24" s="881"/>
      <c r="AA24" s="880"/>
      <c r="AB24" s="880"/>
      <c r="AC24" s="882"/>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8" priority="3" operator="lessThan">
      <formula>$B$2</formula>
    </cfRule>
  </conditionalFormatting>
  <conditionalFormatting sqref="T8:T24 Z8:Z24">
    <cfRule type="cellIs" dxfId="36"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180" t="e">
        <f>ContractNo</f>
        <v>#REF!</v>
      </c>
      <c r="O11" s="1181"/>
      <c r="P11" s="1181"/>
      <c r="Q11" s="1181"/>
      <c r="R11" s="1181"/>
      <c r="S11" s="1182"/>
    </row>
    <row r="12" spans="1:19" ht="16" customHeight="1">
      <c r="A12" s="491"/>
      <c r="B12" s="492"/>
      <c r="C12" s="475"/>
      <c r="D12" s="955">
        <f>ClaimInfo!$C$6</f>
        <v>0</v>
      </c>
      <c r="E12" s="955" t="s">
        <v>1715</v>
      </c>
      <c r="F12" s="956">
        <f>ClaimInfo!$C$7</f>
        <v>0</v>
      </c>
      <c r="G12" s="955">
        <f>ClaimInfo!$C$11</f>
        <v>0</v>
      </c>
      <c r="H12" s="955" t="s">
        <v>1715</v>
      </c>
      <c r="I12" s="956">
        <f>ClaimInfo!$C$12</f>
        <v>0</v>
      </c>
      <c r="K12" s="491"/>
      <c r="L12" s="492"/>
      <c r="M12" s="475"/>
      <c r="N12" s="1179" t="e">
        <f>LatestYr</f>
        <v>#REF!</v>
      </c>
      <c r="O12" s="1177"/>
      <c r="P12" s="1186"/>
      <c r="Q12" s="1176" t="e">
        <f>LastYr</f>
        <v>#REF!</v>
      </c>
      <c r="R12" s="1177"/>
      <c r="S12" s="1178"/>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2" t="str">
        <f>IF(C14&lt;&gt;"", ClaimInfo!$I$2, "")</f>
        <v/>
      </c>
      <c r="B14" s="819" t="str">
        <f>IF(C14&lt;&gt;"", "Non-Healthnet", "")</f>
        <v>Non-Healthnet</v>
      </c>
      <c r="C14" s="813"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6"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7"/>
      <c r="C20" s="293"/>
      <c r="D20" s="223"/>
      <c r="E20" s="196"/>
      <c r="F20" s="256"/>
      <c r="G20" s="226"/>
      <c r="H20" s="196"/>
      <c r="I20" s="219"/>
      <c r="K20" s="215"/>
      <c r="L20" s="289"/>
      <c r="M20" s="293"/>
      <c r="N20" s="223"/>
      <c r="O20" s="196"/>
      <c r="P20" s="256"/>
      <c r="Q20" s="226"/>
      <c r="R20" s="196"/>
      <c r="S20" s="219"/>
    </row>
    <row r="21" spans="1:19" ht="17">
      <c r="A21" s="229" t="str">
        <f>IF(C21&lt;&gt;"", ClaimInfo!$I$2, "")</f>
        <v/>
      </c>
      <c r="B21" s="818"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18"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18"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18"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18"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6"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7"/>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18"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18"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18"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18"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18"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6"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7"/>
      <c r="C34" s="293"/>
      <c r="D34" s="223"/>
      <c r="E34" s="196"/>
      <c r="F34" s="256"/>
      <c r="G34" s="226"/>
      <c r="H34" s="196"/>
      <c r="I34" s="219"/>
      <c r="K34" s="215"/>
      <c r="L34" s="289"/>
      <c r="M34" s="293"/>
      <c r="N34" s="223"/>
      <c r="O34" s="196"/>
      <c r="P34" s="256"/>
      <c r="Q34" s="226"/>
      <c r="R34" s="196"/>
      <c r="S34" s="219"/>
    </row>
    <row r="35" spans="1:19" ht="17">
      <c r="A35" s="229" t="str">
        <f>IF(C35&lt;&gt;"", ClaimInfo!$I$3, "")</f>
        <v/>
      </c>
      <c r="B35" s="818"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18"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18"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18"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18"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6"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7"/>
      <c r="C41" s="294"/>
      <c r="D41" s="254"/>
      <c r="E41" s="199"/>
      <c r="F41" s="258"/>
      <c r="G41" s="260"/>
      <c r="H41" s="199"/>
      <c r="I41" s="253"/>
      <c r="K41" s="215"/>
      <c r="L41" s="289"/>
      <c r="M41" s="294"/>
      <c r="N41" s="254"/>
      <c r="O41" s="199"/>
      <c r="P41" s="258"/>
      <c r="Q41" s="260"/>
      <c r="R41" s="199"/>
      <c r="S41" s="253"/>
    </row>
    <row r="42" spans="1:19" ht="17">
      <c r="A42" s="229" t="str">
        <f>IF(C42&lt;&gt;"", ClaimInfo!$I$4, "")</f>
        <v/>
      </c>
      <c r="B42" s="818"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18"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18"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18"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6"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7"/>
      <c r="C48" s="293"/>
      <c r="D48" s="223"/>
      <c r="E48" s="196"/>
      <c r="F48" s="256"/>
      <c r="G48" s="226"/>
      <c r="H48" s="196"/>
      <c r="I48" s="219"/>
      <c r="K48" s="215"/>
      <c r="L48" s="289"/>
      <c r="M48" s="293"/>
      <c r="N48" s="223"/>
      <c r="O48" s="196"/>
      <c r="P48" s="256"/>
      <c r="Q48" s="226"/>
      <c r="R48" s="196"/>
      <c r="S48" s="219"/>
    </row>
    <row r="49" spans="1:19" ht="17">
      <c r="A49" s="229" t="str">
        <f>IF(C49&lt;&gt;"", ClaimInfo!$I$4, "")</f>
        <v/>
      </c>
      <c r="B49" s="818"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18"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18"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18"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18"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0"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180"/>
      <c r="E58" s="1181"/>
      <c r="F58" s="1181"/>
      <c r="G58" s="1181"/>
      <c r="H58" s="1181"/>
      <c r="I58" s="1182"/>
      <c r="J58" s="467"/>
      <c r="K58" s="489"/>
      <c r="L58" s="490"/>
      <c r="M58" s="473"/>
      <c r="N58" s="1180" t="e">
        <f>ContractNo</f>
        <v>#REF!</v>
      </c>
      <c r="O58" s="1181"/>
      <c r="P58" s="1181"/>
      <c r="Q58" s="1181"/>
      <c r="R58" s="1181"/>
      <c r="S58" s="1182"/>
    </row>
    <row r="59" spans="1:19" ht="16" customHeight="1">
      <c r="A59" s="491"/>
      <c r="B59" s="492"/>
      <c r="C59" s="475"/>
      <c r="D59" s="955">
        <f>ClaimInfo!$C$6</f>
        <v>0</v>
      </c>
      <c r="E59" s="955" t="s">
        <v>1715</v>
      </c>
      <c r="F59" s="956">
        <f>ClaimInfo!$C$7</f>
        <v>0</v>
      </c>
      <c r="G59" s="955">
        <f>ClaimInfo!$C$11</f>
        <v>0</v>
      </c>
      <c r="H59" s="955" t="s">
        <v>1715</v>
      </c>
      <c r="I59" s="956">
        <f>ClaimInfo!$C$12</f>
        <v>0</v>
      </c>
      <c r="J59" s="467"/>
      <c r="K59" s="491"/>
      <c r="L59" s="492"/>
      <c r="M59" s="475"/>
      <c r="N59" s="1179" t="e">
        <f>N12</f>
        <v>#REF!</v>
      </c>
      <c r="O59" s="1177"/>
      <c r="P59" s="1186"/>
      <c r="Q59" s="1176" t="e">
        <f>Q12</f>
        <v>#REF!</v>
      </c>
      <c r="R59" s="1177"/>
      <c r="S59" s="1178"/>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2" t="str">
        <f>IF(C61&lt;&gt;"", ClaimInfo!$I$5, "")</f>
        <v/>
      </c>
      <c r="B61" s="819" t="str">
        <f>IF(C61&lt;&gt;"", "Non-Healthnet", "")</f>
        <v>Non-Healthnet</v>
      </c>
      <c r="C61" s="813"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18"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6"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7"/>
      <c r="C67" s="293"/>
      <c r="D67" s="223"/>
      <c r="E67" s="196"/>
      <c r="F67" s="256"/>
      <c r="G67" s="226"/>
      <c r="H67" s="196"/>
      <c r="I67" s="219"/>
      <c r="K67" s="215"/>
      <c r="L67" s="289"/>
      <c r="M67" s="293"/>
      <c r="N67" s="223"/>
      <c r="O67" s="196"/>
      <c r="P67" s="256"/>
      <c r="Q67" s="226"/>
      <c r="R67" s="196"/>
      <c r="S67" s="219"/>
    </row>
    <row r="68" spans="1:19" ht="17">
      <c r="A68" s="229" t="str">
        <f>IF(C68&lt;&gt;"", ClaimInfo!$I$5, "")</f>
        <v/>
      </c>
      <c r="B68" s="818"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18"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18"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18"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18"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6"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7"/>
      <c r="C74" s="293"/>
      <c r="D74" s="254"/>
      <c r="E74" s="198"/>
      <c r="F74" s="258"/>
      <c r="G74" s="260"/>
      <c r="H74" s="198"/>
      <c r="I74" s="252"/>
      <c r="K74" s="215"/>
      <c r="L74" s="289"/>
      <c r="M74" s="293"/>
      <c r="N74" s="254"/>
      <c r="O74" s="198"/>
      <c r="P74" s="258"/>
      <c r="Q74" s="260"/>
      <c r="R74" s="198"/>
      <c r="S74" s="252"/>
    </row>
    <row r="75" spans="1:19" ht="17">
      <c r="A75" s="229" t="str">
        <f>IF(C75&lt;&gt;"", ClaimInfo!$I$6, "")</f>
        <v/>
      </c>
      <c r="B75" s="818"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18"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18"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18"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18"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6"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7"/>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18"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18"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6"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7"/>
      <c r="C88" s="294"/>
      <c r="D88" s="254"/>
      <c r="E88" s="199"/>
      <c r="F88" s="258"/>
      <c r="G88" s="260"/>
      <c r="H88" s="199"/>
      <c r="I88" s="253"/>
      <c r="K88" s="215"/>
      <c r="L88" s="289"/>
      <c r="M88" s="294"/>
      <c r="N88" s="254"/>
      <c r="O88" s="199"/>
      <c r="P88" s="258"/>
      <c r="Q88" s="260"/>
      <c r="R88" s="199"/>
      <c r="S88" s="253"/>
    </row>
    <row r="89" spans="1:19" ht="17">
      <c r="A89" s="229" t="str">
        <f>IF(C89&lt;&gt;"", ClaimInfo!$I$7, "")</f>
        <v/>
      </c>
      <c r="B89" s="818"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18"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18"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18"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18"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6"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7"/>
      <c r="C95" s="293"/>
      <c r="D95" s="223"/>
      <c r="E95" s="196"/>
      <c r="F95" s="256"/>
      <c r="G95" s="226"/>
      <c r="H95" s="196"/>
      <c r="I95" s="219"/>
      <c r="K95" s="215"/>
      <c r="L95" s="289"/>
      <c r="M95" s="293"/>
      <c r="N95" s="223"/>
      <c r="O95" s="196"/>
      <c r="P95" s="256"/>
      <c r="Q95" s="226"/>
      <c r="R95" s="196"/>
      <c r="S95" s="219"/>
    </row>
    <row r="96" spans="1:19" ht="17">
      <c r="A96" s="229" t="str">
        <f>IF(C96&lt;&gt;"", ClaimInfo!$I$7, "")</f>
        <v/>
      </c>
      <c r="B96" s="818"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18"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18"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18"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18"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0"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180"/>
      <c r="E105" s="1181"/>
      <c r="F105" s="1181"/>
      <c r="G105" s="1181"/>
      <c r="H105" s="1181"/>
      <c r="I105" s="1182"/>
      <c r="J105" s="467"/>
      <c r="K105" s="489"/>
      <c r="L105" s="490"/>
      <c r="M105" s="473"/>
      <c r="N105" s="1180" t="e">
        <f>ContractNo</f>
        <v>#REF!</v>
      </c>
      <c r="O105" s="1181"/>
      <c r="P105" s="1181"/>
      <c r="Q105" s="1181"/>
      <c r="R105" s="1181"/>
      <c r="S105" s="1182"/>
    </row>
    <row r="106" spans="1:19" ht="16" customHeight="1">
      <c r="A106" s="491"/>
      <c r="B106" s="492"/>
      <c r="C106" s="475"/>
      <c r="D106" s="955">
        <f>ClaimInfo!$C$6</f>
        <v>0</v>
      </c>
      <c r="E106" s="955" t="s">
        <v>1715</v>
      </c>
      <c r="F106" s="956">
        <f>ClaimInfo!$C$7</f>
        <v>0</v>
      </c>
      <c r="G106" s="955">
        <f>ClaimInfo!$C$11</f>
        <v>0</v>
      </c>
      <c r="H106" s="955" t="s">
        <v>1715</v>
      </c>
      <c r="I106" s="956">
        <f>ClaimInfo!$C$12</f>
        <v>0</v>
      </c>
      <c r="J106" s="467"/>
      <c r="K106" s="491"/>
      <c r="L106" s="492"/>
      <c r="M106" s="475"/>
      <c r="N106" s="1179" t="e">
        <f>N59</f>
        <v>#REF!</v>
      </c>
      <c r="O106" s="1177"/>
      <c r="P106" s="1186"/>
      <c r="Q106" s="1176" t="e">
        <f>Q59</f>
        <v>#REF!</v>
      </c>
      <c r="R106" s="1177"/>
      <c r="S106" s="1178"/>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2" t="str">
        <f>IF(C108&lt;&gt;"", ClaimInfo!$I$8, "")</f>
        <v/>
      </c>
      <c r="B108" s="819" t="str">
        <f>IF(C108&lt;&gt;"", "Non-Healthnet", "")</f>
        <v>Non-Healthnet</v>
      </c>
      <c r="C108" s="813"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18"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6"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7"/>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18"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18"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18"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18"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18"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6"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7"/>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18"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18"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18"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18"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18"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6"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7"/>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18"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18"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18"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18"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18"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6"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7"/>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18"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18"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18"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18"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18"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6"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7"/>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18"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18"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0"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180"/>
      <c r="E152" s="1181"/>
      <c r="F152" s="1181"/>
      <c r="G152" s="1181"/>
      <c r="H152" s="1181"/>
      <c r="I152" s="1182"/>
      <c r="J152" s="467"/>
      <c r="K152" s="489"/>
      <c r="L152" s="490"/>
      <c r="M152" s="473"/>
      <c r="N152" s="1180" t="e">
        <f>ContractNo</f>
        <v>#REF!</v>
      </c>
      <c r="O152" s="1181"/>
      <c r="P152" s="1181"/>
      <c r="Q152" s="1181"/>
      <c r="R152" s="1181"/>
      <c r="S152" s="1182"/>
    </row>
    <row r="153" spans="1:19" ht="16" customHeight="1">
      <c r="A153" s="491"/>
      <c r="B153" s="492"/>
      <c r="C153" s="475"/>
      <c r="D153" s="955">
        <f>ClaimInfo!$C$6</f>
        <v>0</v>
      </c>
      <c r="E153" s="955" t="s">
        <v>1715</v>
      </c>
      <c r="F153" s="956">
        <f>ClaimInfo!$C$7</f>
        <v>0</v>
      </c>
      <c r="G153" s="955">
        <f>ClaimInfo!$C$11</f>
        <v>0</v>
      </c>
      <c r="H153" s="955" t="s">
        <v>1715</v>
      </c>
      <c r="I153" s="956">
        <f>ClaimInfo!$C$12</f>
        <v>0</v>
      </c>
      <c r="J153" s="467"/>
      <c r="K153" s="491"/>
      <c r="L153" s="492"/>
      <c r="M153" s="475"/>
      <c r="N153" s="1179" t="e">
        <f>N106</f>
        <v>#REF!</v>
      </c>
      <c r="O153" s="1177"/>
      <c r="P153" s="1186"/>
      <c r="Q153" s="1176" t="e">
        <f>Q106</f>
        <v>#REF!</v>
      </c>
      <c r="R153" s="1177"/>
      <c r="S153" s="1178"/>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2" t="str">
        <f>IF(C155&lt;&gt;"", ClaimInfo!$I$11, "")</f>
        <v/>
      </c>
      <c r="B155" s="819" t="str">
        <f>IF(C155&lt;&gt;"", "Non-Healthnet", "")</f>
        <v>Non-Healthnet</v>
      </c>
      <c r="C155" s="813"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18"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6"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7"/>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18"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18"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18"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18"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18"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6"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7"/>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18"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18"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18"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18"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18"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6"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7"/>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18"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18"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18"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18"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18"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6"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7"/>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18"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18"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18"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18"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18"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6"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7"/>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18"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18"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0"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53:P153"/>
    <mergeCell ref="Q153:S153"/>
    <mergeCell ref="D152:I152"/>
    <mergeCell ref="D58:I58"/>
    <mergeCell ref="D105:I105"/>
    <mergeCell ref="N105:S105"/>
    <mergeCell ref="N106:P106"/>
    <mergeCell ref="Q106:S106"/>
    <mergeCell ref="N152:S152"/>
    <mergeCell ref="N11:S11"/>
    <mergeCell ref="N12:P12"/>
    <mergeCell ref="Q12:S12"/>
    <mergeCell ref="N58:S58"/>
    <mergeCell ref="N59:P59"/>
    <mergeCell ref="Q59:S59"/>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4" priority="48" operator="lessThan">
      <formula>$B$3</formula>
    </cfRule>
  </conditionalFormatting>
  <conditionalFormatting sqref="F16 I16 F30 I30 F44 I44 F63 I63 F77 I77 F91 I91 F110 I110 F124 I124 F138 I138 F157 I157 F171 I171 F185 I185">
    <cfRule type="cellIs" dxfId="33"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32" priority="46" operator="lessThan">
      <formula>$B$5</formula>
    </cfRule>
  </conditionalFormatting>
  <conditionalFormatting sqref="F54 I54 F101 I101 F148 I148 F195 I195">
    <cfRule type="cellIs" dxfId="31" priority="45" operator="lessThan">
      <formula>$B$2</formula>
    </cfRule>
  </conditionalFormatting>
  <conditionalFormatting sqref="F19:I19">
    <cfRule type="cellIs" dxfId="30" priority="39" operator="lessThan">
      <formula>$B$2</formula>
    </cfRule>
  </conditionalFormatting>
  <conditionalFormatting sqref="F26:I26">
    <cfRule type="cellIs" dxfId="29" priority="37" operator="lessThan">
      <formula>$B$2</formula>
    </cfRule>
  </conditionalFormatting>
  <conditionalFormatting sqref="F33:I33">
    <cfRule type="cellIs" dxfId="28" priority="35" operator="lessThan">
      <formula>$B$2</formula>
    </cfRule>
  </conditionalFormatting>
  <conditionalFormatting sqref="F40:I40">
    <cfRule type="cellIs" dxfId="27" priority="33" operator="lessThan">
      <formula>$B$2</formula>
    </cfRule>
  </conditionalFormatting>
  <conditionalFormatting sqref="F47:I47">
    <cfRule type="cellIs" dxfId="26" priority="31" operator="lessThan">
      <formula>$B$2</formula>
    </cfRule>
  </conditionalFormatting>
  <conditionalFormatting sqref="F66:I66">
    <cfRule type="cellIs" dxfId="25" priority="29" operator="lessThan">
      <formula>$B$2</formula>
    </cfRule>
  </conditionalFormatting>
  <conditionalFormatting sqref="F73:I73">
    <cfRule type="cellIs" dxfId="24" priority="27" operator="lessThan">
      <formula>$B$2</formula>
    </cfRule>
  </conditionalFormatting>
  <conditionalFormatting sqref="F80:I80">
    <cfRule type="cellIs" dxfId="23" priority="25" operator="lessThan">
      <formula>$B$2</formula>
    </cfRule>
  </conditionalFormatting>
  <conditionalFormatting sqref="F87:I87">
    <cfRule type="cellIs" dxfId="22" priority="23" operator="lessThan">
      <formula>$B$2</formula>
    </cfRule>
  </conditionalFormatting>
  <conditionalFormatting sqref="F94:I94">
    <cfRule type="cellIs" dxfId="21" priority="21" operator="lessThan">
      <formula>$B$2</formula>
    </cfRule>
  </conditionalFormatting>
  <conditionalFormatting sqref="F113:I113">
    <cfRule type="cellIs" dxfId="20" priority="19" operator="lessThan">
      <formula>$B$2</formula>
    </cfRule>
  </conditionalFormatting>
  <conditionalFormatting sqref="F120:I120">
    <cfRule type="cellIs" dxfId="19" priority="17" operator="lessThan">
      <formula>$B$2</formula>
    </cfRule>
  </conditionalFormatting>
  <conditionalFormatting sqref="F127:I127">
    <cfRule type="cellIs" dxfId="18" priority="15" operator="lessThan">
      <formula>$B$2</formula>
    </cfRule>
  </conditionalFormatting>
  <conditionalFormatting sqref="F134:I134">
    <cfRule type="cellIs" dxfId="17" priority="13" operator="lessThan">
      <formula>$B$2</formula>
    </cfRule>
  </conditionalFormatting>
  <conditionalFormatting sqref="F141:I141">
    <cfRule type="cellIs" dxfId="16" priority="11" operator="lessThan">
      <formula>$B$2</formula>
    </cfRule>
  </conditionalFormatting>
  <conditionalFormatting sqref="F160:I160">
    <cfRule type="cellIs" dxfId="15" priority="9" operator="lessThan">
      <formula>$B$2</formula>
    </cfRule>
  </conditionalFormatting>
  <conditionalFormatting sqref="F167:I167">
    <cfRule type="cellIs" dxfId="14" priority="7" operator="lessThan">
      <formula>$B$2</formula>
    </cfRule>
  </conditionalFormatting>
  <conditionalFormatting sqref="F174:I174">
    <cfRule type="cellIs" dxfId="13" priority="5" operator="lessThan">
      <formula>$B$2</formula>
    </cfRule>
  </conditionalFormatting>
  <conditionalFormatting sqref="F181:I181">
    <cfRule type="cellIs" dxfId="12" priority="3" operator="lessThan">
      <formula>$B$2</formula>
    </cfRule>
  </conditionalFormatting>
  <conditionalFormatting sqref="F188:I188">
    <cfRule type="cellIs" dxfId="11"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10" priority="44" operator="lessThan">
      <formula>$B$3</formula>
    </cfRule>
  </conditionalFormatting>
  <conditionalFormatting sqref="P16 S16 P30 S30 P44 S44 P63 S63 P77 S77 P91 S91 P110 S110 P124 S124 P138 S138 P157 S157 P171 S171 P185 S185">
    <cfRule type="cellIs" dxfId="9"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8"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7"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opLeftCell="I1" zoomScale="120" zoomScaleNormal="120" workbookViewId="0">
      <selection activeCell="Q7" sqref="Q7"/>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3"/>
      <c r="I5" s="171"/>
      <c r="J5" s="923"/>
    </row>
    <row r="6" spans="1:19" ht="16" customHeight="1">
      <c r="A6" s="494"/>
      <c r="B6" s="921"/>
      <c r="C6" s="940">
        <f>ClaimInfo!$C$6</f>
        <v>0</v>
      </c>
      <c r="D6" s="942" t="s">
        <v>1715</v>
      </c>
      <c r="E6" s="957">
        <f>ClaimInfo!$C$7</f>
        <v>0</v>
      </c>
      <c r="F6" s="925"/>
      <c r="G6" s="925"/>
      <c r="H6" s="926"/>
      <c r="I6" s="940">
        <f>ClaimInfo!$C$11</f>
        <v>0</v>
      </c>
      <c r="J6" s="942" t="s">
        <v>1715</v>
      </c>
      <c r="K6" s="957">
        <f>ClaimInfo!$C$12</f>
        <v>0</v>
      </c>
      <c r="L6" s="925"/>
      <c r="M6" s="925"/>
      <c r="N6" s="926"/>
      <c r="R6" s="1035" t="s">
        <v>1981</v>
      </c>
    </row>
    <row r="7" spans="1:19" ht="30">
      <c r="A7" s="495" t="s">
        <v>1929</v>
      </c>
      <c r="B7" s="496" t="s">
        <v>1930</v>
      </c>
      <c r="C7" s="518" t="s">
        <v>1721</v>
      </c>
      <c r="D7" s="518" t="s">
        <v>1722</v>
      </c>
      <c r="E7" s="518" t="s">
        <v>1199</v>
      </c>
      <c r="F7" s="518" t="s">
        <v>1928</v>
      </c>
      <c r="G7" s="518" t="s">
        <v>1935</v>
      </c>
      <c r="H7" s="922" t="s">
        <v>1936</v>
      </c>
      <c r="I7" s="518" t="s">
        <v>1721</v>
      </c>
      <c r="J7" s="518" t="s">
        <v>1722</v>
      </c>
      <c r="K7" s="518" t="s">
        <v>1199</v>
      </c>
      <c r="L7" s="518" t="s">
        <v>1928</v>
      </c>
      <c r="M7" s="518" t="s">
        <v>1935</v>
      </c>
      <c r="N7" s="922" t="s">
        <v>1936</v>
      </c>
      <c r="R7" s="1034" t="s">
        <v>1982</v>
      </c>
      <c r="S7" s="1034" t="s">
        <v>1983</v>
      </c>
    </row>
    <row r="8" spans="1:19" ht="17">
      <c r="A8" s="282"/>
      <c r="B8" s="297"/>
      <c r="C8" s="249"/>
      <c r="D8" s="191"/>
      <c r="E8" s="192"/>
      <c r="F8" s="194"/>
      <c r="G8" s="195"/>
      <c r="H8" s="240"/>
      <c r="I8" s="249"/>
      <c r="J8" s="191"/>
      <c r="K8" s="192"/>
      <c r="L8" s="191"/>
      <c r="M8" s="193"/>
      <c r="N8" s="239"/>
      <c r="Q8" s="1034" t="s">
        <v>64</v>
      </c>
      <c r="R8" s="1034">
        <f>IFERROR(_xlfn.XLOOKUP($Q8,$B$29:$B$44,$L$29:$L$44),0)</f>
        <v>0</v>
      </c>
      <c r="S8" s="1034">
        <f>IFERROR(_xlfn.XLOOKUP($Q8,$B$8:$B$23,$L$8:$L$23),0)</f>
        <v>0</v>
      </c>
    </row>
    <row r="9" spans="1:19" ht="17">
      <c r="A9" s="282"/>
      <c r="B9" s="297"/>
      <c r="C9" s="249"/>
      <c r="D9" s="191"/>
      <c r="E9" s="192"/>
      <c r="F9" s="194"/>
      <c r="G9" s="195"/>
      <c r="H9" s="240"/>
      <c r="I9" s="249"/>
      <c r="J9" s="191"/>
      <c r="K9" s="192"/>
      <c r="L9" s="191"/>
      <c r="M9" s="193"/>
      <c r="N9" s="239"/>
      <c r="Q9" s="1034" t="s">
        <v>68</v>
      </c>
      <c r="R9" s="1034">
        <f t="shared" ref="R9:R14" si="0">IFERROR(_xlfn.XLOOKUP($Q9,$B$29:$B$44,$L$29:$L$44),0)</f>
        <v>0</v>
      </c>
      <c r="S9" s="1034">
        <f t="shared" ref="S9:S14" si="1">IFERROR(_xlfn.XLOOKUP($Q9,$B$8:$B$23,$L$8:$L$23),0)</f>
        <v>0</v>
      </c>
    </row>
    <row r="10" spans="1:19" ht="17">
      <c r="A10" s="282"/>
      <c r="B10" s="297"/>
      <c r="C10" s="249"/>
      <c r="D10" s="191"/>
      <c r="E10" s="192"/>
      <c r="F10" s="194"/>
      <c r="G10" s="195"/>
      <c r="H10" s="240"/>
      <c r="I10" s="249"/>
      <c r="J10" s="191"/>
      <c r="K10" s="192"/>
      <c r="L10" s="191"/>
      <c r="M10" s="193"/>
      <c r="N10" s="239"/>
      <c r="Q10" s="1034" t="s">
        <v>69</v>
      </c>
      <c r="R10" s="1034">
        <f t="shared" si="0"/>
        <v>0</v>
      </c>
      <c r="S10" s="1034">
        <f t="shared" si="1"/>
        <v>0</v>
      </c>
    </row>
    <row r="11" spans="1:19" ht="23" customHeight="1">
      <c r="A11" s="282"/>
      <c r="B11" s="297"/>
      <c r="C11" s="249"/>
      <c r="D11" s="191"/>
      <c r="E11" s="192"/>
      <c r="F11" s="194"/>
      <c r="G11" s="195"/>
      <c r="H11" s="240"/>
      <c r="I11" s="249"/>
      <c r="J11" s="191"/>
      <c r="K11" s="192"/>
      <c r="L11" s="191"/>
      <c r="M11" s="193"/>
      <c r="N11" s="239"/>
      <c r="Q11" s="1034" t="s">
        <v>72</v>
      </c>
      <c r="R11" s="1034">
        <f t="shared" si="0"/>
        <v>0</v>
      </c>
      <c r="S11" s="1034">
        <f t="shared" si="1"/>
        <v>0</v>
      </c>
    </row>
    <row r="12" spans="1:19" ht="17">
      <c r="A12" s="282"/>
      <c r="B12" s="297"/>
      <c r="C12" s="249"/>
      <c r="D12" s="191"/>
      <c r="E12" s="192"/>
      <c r="F12" s="194"/>
      <c r="G12" s="195"/>
      <c r="H12" s="240"/>
      <c r="I12" s="249"/>
      <c r="J12" s="191"/>
      <c r="K12" s="192"/>
      <c r="L12" s="191"/>
      <c r="M12" s="193"/>
      <c r="N12" s="239"/>
      <c r="Q12" s="1034" t="s">
        <v>2014</v>
      </c>
      <c r="R12" s="1034">
        <f t="shared" si="0"/>
        <v>0</v>
      </c>
      <c r="S12" s="1034">
        <f t="shared" si="1"/>
        <v>0</v>
      </c>
    </row>
    <row r="13" spans="1:19" ht="17">
      <c r="A13" s="282"/>
      <c r="B13" s="297"/>
      <c r="C13" s="249"/>
      <c r="D13" s="191"/>
      <c r="E13" s="192"/>
      <c r="F13" s="194"/>
      <c r="G13" s="195"/>
      <c r="H13" s="240"/>
      <c r="I13" s="249"/>
      <c r="J13" s="191"/>
      <c r="K13" s="192"/>
      <c r="L13" s="191"/>
      <c r="M13" s="193"/>
      <c r="N13" s="239"/>
      <c r="Q13" s="1034" t="s">
        <v>78</v>
      </c>
      <c r="R13" s="1034">
        <f t="shared" si="0"/>
        <v>0</v>
      </c>
      <c r="S13" s="1034">
        <f t="shared" si="1"/>
        <v>0</v>
      </c>
    </row>
    <row r="14" spans="1:19" ht="17">
      <c r="A14" s="282"/>
      <c r="B14" s="297"/>
      <c r="C14" s="249"/>
      <c r="D14" s="191"/>
      <c r="E14" s="192"/>
      <c r="F14" s="194"/>
      <c r="G14" s="195"/>
      <c r="H14" s="240"/>
      <c r="I14" s="249"/>
      <c r="J14" s="191"/>
      <c r="K14" s="192"/>
      <c r="L14" s="191"/>
      <c r="M14" s="193"/>
      <c r="N14" s="239"/>
      <c r="Q14" s="1034" t="s">
        <v>80</v>
      </c>
      <c r="R14" s="1034">
        <f t="shared" si="0"/>
        <v>0</v>
      </c>
      <c r="S14" s="1034">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1"/>
      <c r="C27" s="913">
        <f>ClaimInfo!$C$6</f>
        <v>0</v>
      </c>
      <c r="D27" s="914" t="s">
        <v>1715</v>
      </c>
      <c r="E27" s="924">
        <f>ClaimInfo!$C$7</f>
        <v>0</v>
      </c>
      <c r="F27" s="925"/>
      <c r="G27" s="925"/>
      <c r="H27" s="926"/>
      <c r="I27" s="914">
        <f>ClaimInfo!$C$11</f>
        <v>0</v>
      </c>
      <c r="J27" s="914" t="s">
        <v>1715</v>
      </c>
      <c r="K27" s="924">
        <f>ClaimInfo!$C$12</f>
        <v>0</v>
      </c>
      <c r="L27" s="925"/>
      <c r="M27" s="925"/>
      <c r="N27" s="926"/>
    </row>
    <row r="28" spans="1:14" ht="30">
      <c r="A28" s="495" t="s">
        <v>1929</v>
      </c>
      <c r="B28" s="496" t="s">
        <v>1930</v>
      </c>
      <c r="C28" s="518" t="s">
        <v>1721</v>
      </c>
      <c r="D28" s="518" t="s">
        <v>1722</v>
      </c>
      <c r="E28" s="518" t="s">
        <v>1199</v>
      </c>
      <c r="F28" s="518" t="s">
        <v>1928</v>
      </c>
      <c r="G28" s="518" t="s">
        <v>1935</v>
      </c>
      <c r="H28" s="922" t="s">
        <v>1936</v>
      </c>
      <c r="I28" s="518" t="s">
        <v>1721</v>
      </c>
      <c r="J28" s="518" t="s">
        <v>1722</v>
      </c>
      <c r="K28" s="518" t="s">
        <v>1199</v>
      </c>
      <c r="L28" s="518" t="s">
        <v>1928</v>
      </c>
      <c r="M28" s="518" t="s">
        <v>1935</v>
      </c>
      <c r="N28" s="922" t="s">
        <v>1936</v>
      </c>
    </row>
    <row r="29" spans="1:14">
      <c r="A29" s="774"/>
      <c r="B29" s="297"/>
      <c r="C29" s="249"/>
      <c r="D29" s="191"/>
      <c r="E29" s="192"/>
      <c r="F29" s="194"/>
      <c r="G29" s="195"/>
      <c r="H29" s="240"/>
      <c r="I29" s="249"/>
      <c r="J29" s="191"/>
      <c r="K29" s="192"/>
      <c r="L29" s="191"/>
      <c r="M29" s="193"/>
      <c r="N29" s="239"/>
    </row>
    <row r="30" spans="1:14">
      <c r="A30" s="774"/>
      <c r="B30" s="297"/>
      <c r="C30" s="249"/>
      <c r="D30" s="191"/>
      <c r="E30" s="192"/>
      <c r="F30" s="194"/>
      <c r="G30" s="195"/>
      <c r="H30" s="240"/>
      <c r="I30" s="249"/>
      <c r="J30" s="191"/>
      <c r="K30" s="192"/>
      <c r="L30" s="191"/>
      <c r="M30" s="193"/>
      <c r="N30" s="239"/>
    </row>
    <row r="31" spans="1:14">
      <c r="A31" s="774"/>
      <c r="B31" s="297"/>
      <c r="C31" s="249"/>
      <c r="D31" s="191"/>
      <c r="E31" s="192"/>
      <c r="F31" s="194"/>
      <c r="G31" s="195"/>
      <c r="H31" s="240"/>
      <c r="I31" s="249"/>
      <c r="J31" s="191"/>
      <c r="K31" s="192"/>
      <c r="L31" s="191"/>
      <c r="M31" s="193"/>
      <c r="N31" s="239"/>
    </row>
    <row r="32" spans="1:14">
      <c r="A32" s="774"/>
      <c r="B32" s="297"/>
      <c r="C32" s="249"/>
      <c r="D32" s="191"/>
      <c r="E32" s="192"/>
      <c r="F32" s="194"/>
      <c r="G32" s="195"/>
      <c r="H32" s="240"/>
      <c r="I32" s="249"/>
      <c r="J32" s="191"/>
      <c r="K32" s="192"/>
      <c r="L32" s="191"/>
      <c r="M32" s="193"/>
      <c r="N32" s="239"/>
    </row>
    <row r="33" spans="1:14">
      <c r="A33" s="774"/>
      <c r="B33" s="297"/>
      <c r="C33" s="249"/>
      <c r="D33" s="191"/>
      <c r="E33" s="192"/>
      <c r="F33" s="194"/>
      <c r="G33" s="195"/>
      <c r="H33" s="240"/>
      <c r="I33" s="249"/>
      <c r="J33" s="191"/>
      <c r="K33" s="192"/>
      <c r="L33" s="191"/>
      <c r="M33" s="193"/>
      <c r="N33" s="239"/>
    </row>
    <row r="34" spans="1:14">
      <c r="A34" s="774"/>
      <c r="B34" s="297"/>
      <c r="C34" s="249"/>
      <c r="D34" s="191"/>
      <c r="E34" s="192"/>
      <c r="F34" s="194"/>
      <c r="G34" s="195"/>
      <c r="H34" s="240"/>
      <c r="I34" s="249"/>
      <c r="J34" s="191"/>
      <c r="K34" s="192"/>
      <c r="L34" s="191"/>
      <c r="M34" s="193"/>
      <c r="N34" s="239"/>
    </row>
    <row r="35" spans="1:14">
      <c r="A35" s="774"/>
      <c r="B35" s="297"/>
      <c r="C35" s="249"/>
      <c r="D35" s="191"/>
      <c r="E35" s="192"/>
      <c r="F35" s="194"/>
      <c r="G35" s="195"/>
      <c r="H35" s="240"/>
      <c r="I35" s="249"/>
      <c r="J35" s="191"/>
      <c r="K35" s="192"/>
      <c r="L35" s="191"/>
      <c r="M35" s="193"/>
      <c r="N35" s="239"/>
    </row>
    <row r="36" spans="1:14" ht="21" customHeight="1">
      <c r="A36" s="774"/>
      <c r="B36" s="775"/>
      <c r="C36" s="249"/>
      <c r="D36" s="191"/>
      <c r="E36" s="192"/>
      <c r="F36" s="194"/>
      <c r="G36" s="195"/>
      <c r="H36" s="240"/>
      <c r="I36" s="249"/>
      <c r="J36" s="191"/>
      <c r="K36" s="192"/>
      <c r="L36" s="191"/>
      <c r="M36" s="193"/>
      <c r="N36" s="239"/>
    </row>
    <row r="37" spans="1:14" ht="21" customHeight="1">
      <c r="A37" s="774"/>
      <c r="B37" s="775"/>
      <c r="C37" s="249"/>
      <c r="D37" s="191"/>
      <c r="E37" s="192"/>
      <c r="F37" s="194"/>
      <c r="G37" s="195"/>
      <c r="H37" s="240"/>
      <c r="I37" s="249"/>
      <c r="J37" s="191"/>
      <c r="K37" s="192"/>
      <c r="L37" s="191"/>
      <c r="M37" s="193"/>
      <c r="N37" s="239"/>
    </row>
    <row r="38" spans="1:14">
      <c r="A38" s="774"/>
      <c r="B38" s="775"/>
      <c r="C38" s="249"/>
      <c r="D38" s="191"/>
      <c r="E38" s="192"/>
      <c r="F38" s="194"/>
      <c r="G38" s="195"/>
      <c r="H38" s="240"/>
      <c r="I38" s="249"/>
      <c r="J38" s="191"/>
      <c r="K38" s="192"/>
      <c r="L38" s="191"/>
      <c r="M38" s="193"/>
      <c r="N38" s="239"/>
    </row>
    <row r="39" spans="1:14" ht="21" customHeight="1">
      <c r="A39" s="774"/>
      <c r="B39" s="775"/>
      <c r="C39" s="249"/>
      <c r="D39" s="191"/>
      <c r="E39" s="192"/>
      <c r="F39" s="194"/>
      <c r="G39" s="195"/>
      <c r="H39" s="240"/>
      <c r="I39" s="249"/>
      <c r="J39" s="191"/>
      <c r="K39" s="192"/>
      <c r="L39" s="191"/>
      <c r="M39" s="193"/>
      <c r="N39" s="239"/>
    </row>
    <row r="40" spans="1:14" ht="21" customHeight="1">
      <c r="A40" s="774"/>
      <c r="B40" s="775"/>
      <c r="C40" s="249"/>
      <c r="D40" s="191"/>
      <c r="E40" s="192"/>
      <c r="F40" s="194"/>
      <c r="G40" s="195"/>
      <c r="H40" s="240"/>
      <c r="I40" s="249"/>
      <c r="J40" s="191"/>
      <c r="K40" s="192"/>
      <c r="L40" s="191"/>
      <c r="M40" s="193"/>
      <c r="N40" s="239"/>
    </row>
    <row r="41" spans="1:14" ht="21" customHeight="1">
      <c r="A41" s="774"/>
      <c r="B41" s="775"/>
      <c r="C41" s="249"/>
      <c r="D41" s="191"/>
      <c r="E41" s="192"/>
      <c r="F41" s="194"/>
      <c r="G41" s="195"/>
      <c r="H41" s="240"/>
      <c r="I41" s="249"/>
      <c r="J41" s="191"/>
      <c r="K41" s="192"/>
      <c r="L41" s="191"/>
      <c r="M41" s="193"/>
      <c r="N41" s="239"/>
    </row>
    <row r="42" spans="1:14" ht="21" customHeight="1">
      <c r="A42" s="774"/>
      <c r="B42" s="775"/>
      <c r="C42" s="249"/>
      <c r="D42" s="191"/>
      <c r="E42" s="192"/>
      <c r="F42" s="194"/>
      <c r="G42" s="195"/>
      <c r="H42" s="240"/>
      <c r="I42" s="249"/>
      <c r="J42" s="191"/>
      <c r="K42" s="192"/>
      <c r="L42" s="191"/>
      <c r="M42" s="193"/>
      <c r="N42" s="239"/>
    </row>
    <row r="43" spans="1:14" ht="21" customHeight="1">
      <c r="A43" s="774"/>
      <c r="B43" s="775"/>
      <c r="C43" s="249"/>
      <c r="D43" s="191"/>
      <c r="E43" s="192"/>
      <c r="F43" s="194"/>
      <c r="G43" s="195"/>
      <c r="H43" s="240"/>
      <c r="I43" s="249"/>
      <c r="J43" s="191"/>
      <c r="K43" s="192"/>
      <c r="L43" s="191"/>
      <c r="M43" s="193"/>
      <c r="N43" s="239"/>
    </row>
    <row r="44" spans="1:14" ht="21" customHeight="1">
      <c r="A44" s="774"/>
      <c r="B44" s="775"/>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6" priority="10" operator="lessThan">
      <formula>$B$2</formula>
    </cfRule>
  </conditionalFormatting>
  <conditionalFormatting sqref="K8:K24">
    <cfRule type="cellIs" dxfId="4"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zoomScale="91" workbookViewId="0">
      <selection activeCell="G7" sqref="G7"/>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1" t="s">
        <v>1289</v>
      </c>
      <c r="B4" s="822" t="s">
        <v>1713</v>
      </c>
      <c r="C4" s="823" t="s">
        <v>1296</v>
      </c>
      <c r="D4" s="823" t="s">
        <v>1714</v>
      </c>
      <c r="E4" s="824" t="s">
        <v>15</v>
      </c>
      <c r="G4" s="46"/>
      <c r="J4" s="1025" t="s">
        <v>1300</v>
      </c>
      <c r="K4" s="1026" t="s">
        <v>1296</v>
      </c>
      <c r="L4" s="1027" t="s">
        <v>1964</v>
      </c>
      <c r="M4" s="1028" t="s">
        <v>15</v>
      </c>
      <c r="N4" s="1025" t="s">
        <v>1961</v>
      </c>
      <c r="O4" s="1029" t="s">
        <v>1962</v>
      </c>
      <c r="P4" s="1030" t="s">
        <v>1963</v>
      </c>
    </row>
    <row r="5" spans="1:30" s="266" customFormat="1" ht="32" customHeight="1">
      <c r="A5" s="742" t="str">
        <f>IF(ClaimInfo!$C$6&lt;&gt;"",ClaimInfo!$C$6,"1/1/1900")</f>
        <v>1/1/1900</v>
      </c>
      <c r="B5" s="745" t="str">
        <f>IF($A$5&lt;&gt;"",ClaimInfo!$J2,"")</f>
        <v>IN-PATIENT (HOSPITALIZATION)</v>
      </c>
      <c r="C5" s="540"/>
      <c r="D5" s="540"/>
      <c r="E5" s="544" t="str">
        <f>IFERROR(D5/C5,"")</f>
        <v/>
      </c>
      <c r="G5" s="46"/>
      <c r="J5" s="1031"/>
      <c r="K5" s="1019"/>
      <c r="L5" s="1020"/>
      <c r="M5" s="1000" t="str">
        <f>IFERROR(K5/L5,"")</f>
        <v/>
      </c>
      <c r="N5" s="1009"/>
      <c r="O5" s="1010" t="str">
        <f>IFERROR(K5/$N5,"")</f>
        <v/>
      </c>
      <c r="P5" s="1011" t="str">
        <f t="shared" ref="P5:P7" si="0">IFERROR(L5/$N5,"")</f>
        <v/>
      </c>
    </row>
    <row r="6" spans="1:30" s="266" customFormat="1" ht="32" customHeight="1">
      <c r="A6" s="742" t="s">
        <v>1715</v>
      </c>
      <c r="B6" s="745" t="str">
        <f>IF($A$5&lt;&gt;"",ClaimInfo!$J3,"")</f>
        <v>OUT-PATIENT</v>
      </c>
      <c r="C6" s="540"/>
      <c r="D6" s="540"/>
      <c r="E6" s="544" t="str">
        <f t="shared" ref="E6:E10" si="1">IFERROR(D6/C6,"")</f>
        <v/>
      </c>
      <c r="G6" s="46"/>
      <c r="J6" s="1032"/>
      <c r="K6" s="1021"/>
      <c r="L6" s="1022"/>
      <c r="M6" s="1001" t="str">
        <f t="shared" ref="M6:M8" si="2">IFERROR(K6/L6,"")</f>
        <v/>
      </c>
      <c r="N6" s="1012"/>
      <c r="O6" s="1013" t="str">
        <f t="shared" ref="O6:O7" si="3">IFERROR(K6/$N6,"")</f>
        <v/>
      </c>
      <c r="P6" s="1014" t="str">
        <f t="shared" si="0"/>
        <v/>
      </c>
    </row>
    <row r="7" spans="1:30" s="266" customFormat="1" ht="32" customHeight="1">
      <c r="A7" s="742" t="str">
        <f>IF(ClaimInfo!$C$7&lt;&gt;"",ClaimInfo!$C$7,"1/1/1900")</f>
        <v>1/1/1900</v>
      </c>
      <c r="B7" s="745" t="str">
        <f>IF($A$5&lt;&gt;"",ClaimInfo!$J4,"")</f>
        <v>GROUP DENTAL</v>
      </c>
      <c r="C7" s="540"/>
      <c r="D7" s="540"/>
      <c r="E7" s="544" t="str">
        <f t="shared" si="1"/>
        <v/>
      </c>
      <c r="G7" s="46"/>
      <c r="J7" s="1033"/>
      <c r="K7" s="1023"/>
      <c r="L7" s="1024"/>
      <c r="M7" s="1002" t="str">
        <f t="shared" si="2"/>
        <v/>
      </c>
      <c r="N7" s="1015"/>
      <c r="O7" s="1016" t="str">
        <f t="shared" si="3"/>
        <v/>
      </c>
      <c r="P7" s="1017" t="str">
        <f t="shared" si="0"/>
        <v/>
      </c>
    </row>
    <row r="8" spans="1:30" s="266" customFormat="1" ht="32" customHeight="1">
      <c r="A8" s="743" t="s">
        <v>1716</v>
      </c>
      <c r="B8" s="745" t="str">
        <f>IF($A$5&lt;&gt;"",ClaimInfo!$J5,"")</f>
        <v>MATERNITY BENEFIT</v>
      </c>
      <c r="C8" s="540"/>
      <c r="D8" s="540"/>
      <c r="E8" s="544" t="str">
        <f t="shared" si="1"/>
        <v/>
      </c>
      <c r="G8" s="46"/>
      <c r="J8" s="1018" t="str">
        <f>_xlfn.CONCAT("Rolling ",COUNTA(J5:J7)," years")</f>
        <v>Rolling 0 years</v>
      </c>
      <c r="K8" s="1004">
        <f>SUM(K5:K7)</f>
        <v>0</v>
      </c>
      <c r="L8" s="1005">
        <f>SUM(L5:L7)</f>
        <v>0</v>
      </c>
      <c r="M8" s="1003" t="str">
        <f>IFERROR(L8/K8,"")</f>
        <v/>
      </c>
      <c r="N8" s="1006" t="s">
        <v>1325</v>
      </c>
      <c r="O8" s="1007" t="s">
        <v>1325</v>
      </c>
      <c r="P8" s="1008" t="s">
        <v>1325</v>
      </c>
    </row>
    <row r="9" spans="1:30" s="266" customFormat="1" ht="32" customHeight="1">
      <c r="A9" s="742" t="str">
        <f>IF(ClaimInfo!C4="", "NA", ClaimInfo!C4)</f>
        <v>NA</v>
      </c>
      <c r="B9" s="745" t="str">
        <f>IF($A$5&lt;&gt;"",ClaimInfo!$J6,"")</f>
        <v>Top-Up/SMM</v>
      </c>
      <c r="C9" s="540"/>
      <c r="D9" s="540"/>
      <c r="E9" s="544" t="str">
        <f t="shared" si="1"/>
        <v/>
      </c>
      <c r="G9" s="46"/>
    </row>
    <row r="10" spans="1:30" s="266" customFormat="1" ht="32" customHeight="1">
      <c r="A10" s="743"/>
      <c r="B10" s="745" t="str">
        <f>IF($A$5&lt;&gt;"",ClaimInfo!$J7,"")</f>
        <v/>
      </c>
      <c r="C10" s="540"/>
      <c r="D10" s="540"/>
      <c r="E10" s="544" t="str">
        <f t="shared" si="1"/>
        <v/>
      </c>
      <c r="G10" s="46"/>
    </row>
    <row r="11" spans="1:30" s="266" customFormat="1" ht="32" customHeight="1">
      <c r="A11" s="744" t="str">
        <f>_xlfn.CONCAT("PY ", RIGHT(A5,4), " Total")</f>
        <v>PY 1900 Total</v>
      </c>
      <c r="B11" s="541" t="s">
        <v>1298</v>
      </c>
      <c r="C11" s="542">
        <f>SUM(C5:C10)</f>
        <v>0</v>
      </c>
      <c r="D11" s="542">
        <f>SUM(D5:D10)</f>
        <v>0</v>
      </c>
      <c r="E11" s="443" t="str">
        <f>IFERROR(D11/C11,"NA")</f>
        <v>NA</v>
      </c>
      <c r="G11" s="46"/>
    </row>
    <row r="12" spans="1:30" s="266" customFormat="1" ht="32" customHeight="1">
      <c r="A12" s="742" t="str">
        <f>IF(ClaimInfo!$C$11&lt;&gt;"",ClaimInfo!$C$11,"1/1/1900")</f>
        <v>1/1/1900</v>
      </c>
      <c r="B12" s="746" t="str">
        <f>IF($A$12&lt;&gt;"",ClaimInfo!$J2,"")</f>
        <v>IN-PATIENT (HOSPITALIZATION)</v>
      </c>
      <c r="C12" s="543"/>
      <c r="D12" s="543"/>
      <c r="E12" s="544" t="str">
        <f t="shared" ref="E12:E17" si="4">IFERROR(D12/C12,"")</f>
        <v/>
      </c>
      <c r="G12" s="46"/>
    </row>
    <row r="13" spans="1:30" s="266" customFormat="1" ht="32" customHeight="1">
      <c r="A13" s="742" t="s">
        <v>1715</v>
      </c>
      <c r="B13" s="746" t="str">
        <f>IF($A$12&lt;&gt;"",ClaimInfo!$J3,"")</f>
        <v>OUT-PATIENT</v>
      </c>
      <c r="C13" s="540"/>
      <c r="D13" s="540"/>
      <c r="E13" s="544" t="str">
        <f t="shared" si="4"/>
        <v/>
      </c>
      <c r="G13" s="46"/>
      <c r="J13" s="989" t="s">
        <v>1965</v>
      </c>
      <c r="K13" s="989" t="s">
        <v>1966</v>
      </c>
      <c r="L13" s="989" t="s">
        <v>1967</v>
      </c>
      <c r="M13" s="989" t="s">
        <v>1968</v>
      </c>
      <c r="N13" s="989" t="s">
        <v>1969</v>
      </c>
      <c r="O13" s="989" t="s">
        <v>1970</v>
      </c>
      <c r="P13" s="989" t="s">
        <v>1971</v>
      </c>
      <c r="Q13" s="989" t="s">
        <v>1972</v>
      </c>
      <c r="R13" s="989" t="s">
        <v>1973</v>
      </c>
      <c r="S13" s="989" t="s">
        <v>1974</v>
      </c>
      <c r="T13" s="989" t="s">
        <v>1975</v>
      </c>
      <c r="U13" s="989" t="s">
        <v>1976</v>
      </c>
      <c r="V13" s="989" t="s">
        <v>1300</v>
      </c>
      <c r="W13" s="989" t="s">
        <v>1977</v>
      </c>
      <c r="X13" s="989" t="s">
        <v>1978</v>
      </c>
      <c r="Y13" s="989" t="s">
        <v>15</v>
      </c>
      <c r="Z13" s="645"/>
      <c r="AA13" s="645"/>
      <c r="AB13" s="645"/>
      <c r="AC13"/>
      <c r="AD13" s="645" t="s">
        <v>1979</v>
      </c>
    </row>
    <row r="14" spans="1:30" s="266" customFormat="1" ht="32" customHeight="1">
      <c r="A14" s="742" t="str">
        <f>IF(ClaimInfo!$C$12&lt;&gt;"",ClaimInfo!$C$12,"1/1/1900")</f>
        <v>1/1/1900</v>
      </c>
      <c r="B14" s="746" t="str">
        <f>IF($A$12&lt;&gt;"",ClaimInfo!$J4,"")</f>
        <v>GROUP DENTAL</v>
      </c>
      <c r="C14" s="540"/>
      <c r="D14" s="540"/>
      <c r="E14" s="544" t="str">
        <f t="shared" si="4"/>
        <v/>
      </c>
      <c r="G14" s="46"/>
      <c r="J14" s="990"/>
      <c r="K14" s="991"/>
      <c r="L14" s="992"/>
      <c r="M14" s="993"/>
      <c r="N14" s="994"/>
      <c r="O14" s="995"/>
      <c r="P14" s="996"/>
      <c r="Q14" s="990"/>
      <c r="R14" s="991"/>
      <c r="S14" s="997"/>
      <c r="T14" s="998"/>
      <c r="U14" s="996"/>
      <c r="V14" s="993"/>
      <c r="W14" s="992"/>
      <c r="X14" s="999"/>
      <c r="Y14" s="996"/>
      <c r="Z14" s="719"/>
      <c r="AA14" s="719"/>
      <c r="AB14" s="988"/>
      <c r="AC14"/>
      <c r="AD14"/>
    </row>
    <row r="15" spans="1:30" s="266" customFormat="1" ht="32" customHeight="1">
      <c r="A15" s="743" t="s">
        <v>1716</v>
      </c>
      <c r="B15" s="746" t="str">
        <f>IF($A$12&lt;&gt;"",ClaimInfo!$J5,"")</f>
        <v>MATERNITY BENEFIT</v>
      </c>
      <c r="C15" s="540"/>
      <c r="D15" s="540"/>
      <c r="E15" s="544" t="str">
        <f t="shared" si="4"/>
        <v/>
      </c>
      <c r="G15" s="46"/>
      <c r="J15" s="990"/>
      <c r="K15" s="991"/>
      <c r="L15" s="992"/>
      <c r="M15" s="993"/>
      <c r="N15" s="994"/>
      <c r="O15" s="995"/>
      <c r="P15" s="996"/>
      <c r="Q15" s="990"/>
      <c r="R15" s="991"/>
      <c r="S15" s="997"/>
      <c r="T15" s="998"/>
      <c r="U15" s="996"/>
      <c r="V15" s="993"/>
      <c r="W15" s="992"/>
      <c r="X15" s="999"/>
      <c r="Y15" s="996"/>
      <c r="Z15" s="719"/>
      <c r="AA15" s="719"/>
      <c r="AB15" s="988"/>
      <c r="AC15"/>
      <c r="AD15"/>
    </row>
    <row r="16" spans="1:30" s="266" customFormat="1" ht="33" customHeight="1">
      <c r="A16" s="742" t="str">
        <f>IF(ClaimInfo!C9="", "NA", ClaimInfo!C9)</f>
        <v>NA</v>
      </c>
      <c r="B16" s="746" t="str">
        <f>IF($A$12&lt;&gt;"",ClaimInfo!$J6,"")</f>
        <v>Top-Up/SMM</v>
      </c>
      <c r="C16" s="540"/>
      <c r="D16" s="540"/>
      <c r="E16" s="544" t="str">
        <f t="shared" si="4"/>
        <v/>
      </c>
      <c r="G16" s="46"/>
      <c r="J16" s="990"/>
      <c r="K16" s="991"/>
      <c r="L16" s="992"/>
      <c r="M16" s="993"/>
      <c r="N16" s="994"/>
      <c r="O16" s="995"/>
      <c r="P16" s="996"/>
      <c r="Q16" s="990"/>
      <c r="R16" s="991"/>
      <c r="S16" s="997"/>
      <c r="T16" s="998"/>
      <c r="U16" s="996"/>
      <c r="V16" s="993"/>
      <c r="W16" s="992"/>
      <c r="X16" s="999"/>
      <c r="Y16" s="996"/>
      <c r="Z16" s="719"/>
      <c r="AA16" s="719"/>
      <c r="AB16" s="988"/>
      <c r="AC16"/>
      <c r="AD16"/>
    </row>
    <row r="17" spans="1:30" s="266" customFormat="1" ht="32" customHeight="1">
      <c r="A17" s="743"/>
      <c r="B17" s="746" t="str">
        <f>IF($A$12&lt;&gt;"",ClaimInfo!$G7,"")</f>
        <v/>
      </c>
      <c r="C17" s="540"/>
      <c r="D17" s="540"/>
      <c r="E17" s="544" t="str">
        <f t="shared" si="4"/>
        <v/>
      </c>
      <c r="G17" s="46"/>
      <c r="J17" s="990"/>
      <c r="K17" s="991"/>
      <c r="L17" s="992"/>
      <c r="M17" s="993"/>
      <c r="N17" s="994"/>
      <c r="O17" s="995"/>
      <c r="P17" s="996"/>
      <c r="Q17" s="990"/>
      <c r="R17" s="991"/>
      <c r="S17" s="997"/>
      <c r="T17" s="998"/>
      <c r="U17" s="996"/>
      <c r="V17" s="993"/>
      <c r="W17" s="992"/>
      <c r="X17" s="999"/>
      <c r="Y17" s="996"/>
      <c r="Z17" s="719"/>
      <c r="AA17" s="719"/>
      <c r="AB17" s="988"/>
      <c r="AC17"/>
      <c r="AD17"/>
    </row>
    <row r="18" spans="1:30" s="266" customFormat="1" ht="32" customHeight="1">
      <c r="A18" s="545" t="str">
        <f>_xlfn.CONCAT("PY ", RIGHT(A12,4), " Total")</f>
        <v>PY 1900 Total</v>
      </c>
      <c r="B18" s="541" t="s">
        <v>1298</v>
      </c>
      <c r="C18" s="542">
        <f>SUM(C12:C17)</f>
        <v>0</v>
      </c>
      <c r="D18" s="542">
        <f>SUM(D12:D17)</f>
        <v>0</v>
      </c>
      <c r="E18" s="443" t="str">
        <f>IFERROR(D18/C18,"NA")</f>
        <v>NA</v>
      </c>
      <c r="G18" s="46"/>
      <c r="J18" s="990"/>
      <c r="K18" s="991"/>
      <c r="L18" s="992"/>
      <c r="M18" s="993"/>
      <c r="N18" s="994"/>
      <c r="O18" s="995"/>
      <c r="P18" s="996"/>
      <c r="Q18" s="990"/>
      <c r="R18" s="991"/>
      <c r="S18" s="997"/>
      <c r="T18" s="998"/>
      <c r="U18" s="996"/>
      <c r="V18" s="993"/>
      <c r="W18" s="992"/>
      <c r="X18" s="999"/>
      <c r="Y18" s="996"/>
      <c r="Z18" s="719"/>
      <c r="AA18" s="719"/>
      <c r="AB18" s="988"/>
      <c r="AC18"/>
      <c r="AD18"/>
    </row>
    <row r="19" spans="1:30" ht="32" customHeight="1">
      <c r="A19" s="169" t="str">
        <f>"Remarks: Cells highlighted in red means loss ratio above "&amp;TEXT($C$2,"0.0%")</f>
        <v>Remarks: Cells highlighted in red means loss ratio above 75.0%</v>
      </c>
      <c r="J19" s="990"/>
      <c r="K19" s="991"/>
      <c r="L19" s="992"/>
      <c r="M19" s="993"/>
      <c r="N19" s="994"/>
      <c r="O19" s="995"/>
      <c r="P19" s="996"/>
      <c r="Q19" s="990"/>
      <c r="R19" s="991"/>
      <c r="S19" s="997"/>
      <c r="T19" s="998"/>
      <c r="U19" s="996"/>
      <c r="V19" s="993"/>
      <c r="W19" s="992"/>
      <c r="X19" s="999"/>
      <c r="Y19" s="996"/>
      <c r="Z19" s="719"/>
      <c r="AA19" s="719"/>
      <c r="AB19" s="988"/>
      <c r="AC19"/>
      <c r="AD19"/>
    </row>
    <row r="20" spans="1:30" ht="32" customHeight="1">
      <c r="J20" s="990"/>
      <c r="K20" s="991"/>
      <c r="L20" s="992"/>
      <c r="M20" s="993"/>
      <c r="N20" s="994"/>
      <c r="O20" s="995"/>
      <c r="P20" s="996"/>
      <c r="Q20" s="990"/>
      <c r="R20" s="991"/>
      <c r="S20" s="997"/>
      <c r="T20" s="998"/>
      <c r="U20" s="996"/>
      <c r="V20" s="993"/>
      <c r="W20" s="992"/>
      <c r="X20" s="999"/>
      <c r="Y20" s="996"/>
      <c r="Z20" s="719"/>
      <c r="AA20" s="719"/>
      <c r="AB20" s="988"/>
      <c r="AC20"/>
      <c r="AD20"/>
    </row>
    <row r="21" spans="1:30" ht="32" customHeight="1">
      <c r="J21" s="990"/>
      <c r="K21" s="991"/>
      <c r="L21" s="992"/>
      <c r="M21" s="993"/>
      <c r="N21" s="994"/>
      <c r="O21" s="995"/>
      <c r="P21" s="996"/>
      <c r="Q21" s="990"/>
      <c r="R21" s="991"/>
      <c r="S21" s="997"/>
      <c r="T21" s="998"/>
      <c r="U21" s="996"/>
      <c r="V21" s="993"/>
      <c r="W21" s="992"/>
      <c r="X21" s="999"/>
      <c r="Y21" s="996"/>
      <c r="Z21" s="719"/>
      <c r="AA21" s="719"/>
      <c r="AB21" s="988"/>
      <c r="AC21"/>
      <c r="AD21"/>
    </row>
    <row r="22" spans="1:30" ht="32" customHeight="1">
      <c r="J22" s="990"/>
      <c r="K22" s="991"/>
      <c r="L22" s="992"/>
      <c r="M22" s="993"/>
      <c r="N22" s="994"/>
      <c r="O22" s="995"/>
      <c r="P22" s="996"/>
      <c r="Q22" s="990"/>
      <c r="R22" s="991"/>
      <c r="S22" s="997"/>
      <c r="T22" s="998"/>
      <c r="U22" s="996"/>
      <c r="V22" s="993"/>
      <c r="W22" s="992"/>
      <c r="X22" s="999"/>
      <c r="Y22" s="996"/>
      <c r="Z22" s="719"/>
      <c r="AA22" s="719"/>
      <c r="AB22" s="988"/>
      <c r="AC22"/>
      <c r="AD22"/>
    </row>
    <row r="23" spans="1:30" ht="32" customHeight="1">
      <c r="A23"/>
      <c r="B23"/>
      <c r="C23"/>
      <c r="D23"/>
      <c r="E23"/>
      <c r="J23" s="990"/>
      <c r="K23" s="991"/>
      <c r="L23" s="992"/>
      <c r="M23" s="993"/>
      <c r="N23" s="994"/>
      <c r="O23" s="995"/>
      <c r="P23" s="996"/>
      <c r="Q23" s="990"/>
      <c r="R23" s="991"/>
      <c r="S23" s="997"/>
      <c r="T23" s="998"/>
      <c r="U23" s="996"/>
      <c r="V23" s="993"/>
      <c r="W23" s="992"/>
      <c r="X23" s="999"/>
      <c r="Y23" s="996"/>
      <c r="Z23" s="719"/>
      <c r="AA23" s="719"/>
      <c r="AB23" s="988"/>
      <c r="AC23"/>
      <c r="AD23"/>
    </row>
    <row r="24" spans="1:30" ht="32" customHeight="1">
      <c r="A24"/>
      <c r="B24"/>
      <c r="C24"/>
      <c r="D24"/>
      <c r="E24"/>
      <c r="J24" s="990"/>
      <c r="K24" s="991"/>
      <c r="L24" s="992"/>
      <c r="M24" s="993"/>
      <c r="N24" s="994"/>
      <c r="O24" s="995"/>
      <c r="P24" s="996"/>
      <c r="Q24" s="990"/>
      <c r="R24" s="991"/>
      <c r="S24" s="997"/>
      <c r="T24" s="998"/>
      <c r="U24" s="996"/>
      <c r="V24" s="993"/>
      <c r="W24" s="992"/>
      <c r="X24" s="999"/>
      <c r="Y24" s="996"/>
      <c r="Z24" s="719"/>
      <c r="AA24" s="719"/>
      <c r="AB24" s="988"/>
      <c r="AC24"/>
      <c r="AD24"/>
    </row>
    <row r="25" spans="1:30" ht="32" customHeight="1">
      <c r="A25"/>
      <c r="B25"/>
      <c r="C25"/>
      <c r="D25"/>
      <c r="E25"/>
      <c r="J25" s="990"/>
      <c r="K25" s="991"/>
      <c r="L25" s="992"/>
      <c r="M25" s="993"/>
      <c r="N25" s="994"/>
      <c r="O25" s="995"/>
      <c r="P25" s="996"/>
      <c r="Q25" s="990"/>
      <c r="R25" s="991"/>
      <c r="S25" s="997"/>
      <c r="T25" s="998"/>
      <c r="U25" s="996"/>
      <c r="V25" s="993"/>
      <c r="W25" s="992"/>
      <c r="X25" s="999"/>
      <c r="Y25" s="996"/>
      <c r="Z25" s="719"/>
      <c r="AA25" s="719"/>
      <c r="AB25" s="988"/>
      <c r="AC25"/>
      <c r="AD25"/>
    </row>
    <row r="26" spans="1:30" ht="23">
      <c r="A26"/>
      <c r="B26"/>
      <c r="C26"/>
      <c r="D26"/>
      <c r="E26"/>
      <c r="J26" s="990"/>
      <c r="K26" s="991"/>
      <c r="L26" s="992"/>
      <c r="M26" s="993"/>
      <c r="N26" s="994"/>
      <c r="O26" s="995"/>
      <c r="P26" s="996"/>
      <c r="Q26" s="990"/>
      <c r="R26" s="991"/>
      <c r="S26" s="997"/>
      <c r="T26" s="998"/>
      <c r="U26" s="996"/>
      <c r="V26" s="993"/>
      <c r="W26" s="992"/>
      <c r="X26" s="999"/>
      <c r="Y26" s="996"/>
    </row>
    <row r="27" spans="1:30" ht="23">
      <c r="A27"/>
      <c r="B27"/>
      <c r="C27"/>
      <c r="D27"/>
      <c r="E27"/>
      <c r="I27"/>
      <c r="J27" s="990"/>
      <c r="K27" s="991"/>
      <c r="L27" s="992"/>
      <c r="M27" s="993"/>
      <c r="N27" s="994"/>
      <c r="O27" s="995"/>
      <c r="P27" s="996"/>
      <c r="Q27" s="990"/>
      <c r="R27" s="991"/>
      <c r="S27" s="997"/>
      <c r="T27" s="998"/>
      <c r="U27" s="996"/>
      <c r="V27" s="993"/>
      <c r="W27" s="992"/>
      <c r="X27" s="999"/>
      <c r="Y27" s="996"/>
    </row>
    <row r="28" spans="1:30" ht="23">
      <c r="A28"/>
      <c r="B28"/>
      <c r="C28"/>
      <c r="D28"/>
      <c r="E28"/>
      <c r="I28"/>
      <c r="J28" s="990"/>
      <c r="K28" s="991"/>
      <c r="L28" s="992"/>
      <c r="M28" s="993"/>
      <c r="N28" s="994"/>
      <c r="O28" s="995"/>
      <c r="P28" s="996"/>
      <c r="Q28" s="990"/>
      <c r="R28" s="991"/>
      <c r="S28" s="997"/>
      <c r="T28" s="998"/>
      <c r="U28" s="996"/>
      <c r="V28" s="993"/>
      <c r="W28" s="992"/>
      <c r="X28" s="999"/>
      <c r="Y28" s="996"/>
    </row>
    <row r="29" spans="1:30" ht="23">
      <c r="A29"/>
      <c r="B29"/>
      <c r="C29"/>
      <c r="D29"/>
      <c r="E29"/>
      <c r="I29"/>
      <c r="J29" s="990"/>
      <c r="K29" s="991"/>
      <c r="L29" s="992"/>
      <c r="M29" s="993"/>
      <c r="N29" s="994"/>
      <c r="O29" s="995"/>
      <c r="P29" s="996"/>
      <c r="Q29" s="990"/>
      <c r="R29" s="991"/>
      <c r="S29" s="997"/>
      <c r="T29" s="998"/>
      <c r="U29" s="996"/>
      <c r="V29" s="993"/>
      <c r="W29" s="992"/>
      <c r="X29" s="999"/>
      <c r="Y29" s="996"/>
    </row>
    <row r="30" spans="1:30" ht="23">
      <c r="A30"/>
      <c r="B30"/>
      <c r="C30"/>
      <c r="D30"/>
      <c r="E30"/>
      <c r="I30"/>
      <c r="J30" s="990"/>
      <c r="K30" s="991"/>
      <c r="L30" s="992"/>
      <c r="M30" s="993"/>
      <c r="N30" s="994"/>
      <c r="O30" s="995"/>
      <c r="P30" s="996"/>
      <c r="Q30" s="990"/>
      <c r="R30" s="991"/>
      <c r="S30" s="997"/>
      <c r="T30" s="998"/>
      <c r="U30" s="996"/>
      <c r="V30" s="993"/>
      <c r="W30" s="992"/>
      <c r="X30" s="999"/>
      <c r="Y30" s="996"/>
    </row>
    <row r="31" spans="1:30" ht="23">
      <c r="A31"/>
      <c r="B31"/>
      <c r="C31"/>
      <c r="D31"/>
      <c r="E31"/>
      <c r="I31"/>
      <c r="J31" s="990"/>
      <c r="K31" s="991"/>
      <c r="L31" s="992"/>
      <c r="M31" s="993"/>
      <c r="N31" s="994"/>
      <c r="O31" s="995"/>
      <c r="P31" s="996"/>
      <c r="Q31" s="990"/>
      <c r="R31" s="991"/>
      <c r="S31" s="997"/>
      <c r="T31" s="998"/>
      <c r="U31" s="996"/>
      <c r="V31" s="993"/>
      <c r="W31" s="992"/>
      <c r="X31" s="999"/>
      <c r="Y31" s="996"/>
    </row>
    <row r="32" spans="1:30" ht="23">
      <c r="A32"/>
      <c r="B32"/>
      <c r="C32"/>
      <c r="D32"/>
      <c r="E32"/>
      <c r="I32"/>
      <c r="J32" s="990"/>
      <c r="K32" s="991"/>
      <c r="L32" s="992"/>
      <c r="M32" s="993"/>
      <c r="N32" s="994"/>
      <c r="O32" s="995"/>
      <c r="P32" s="996"/>
      <c r="Q32" s="990"/>
      <c r="R32" s="991"/>
      <c r="S32" s="997"/>
      <c r="T32" s="998"/>
      <c r="U32" s="996"/>
      <c r="V32" s="993"/>
      <c r="W32" s="992"/>
      <c r="X32" s="999"/>
      <c r="Y32" s="996"/>
    </row>
    <row r="33" spans="1:25" ht="23">
      <c r="A33"/>
      <c r="B33"/>
      <c r="C33"/>
      <c r="D33"/>
      <c r="E33"/>
      <c r="I33"/>
      <c r="J33" s="990"/>
      <c r="K33" s="991"/>
      <c r="L33" s="992"/>
      <c r="M33" s="993"/>
      <c r="N33" s="994"/>
      <c r="O33" s="995"/>
      <c r="P33" s="996"/>
      <c r="Q33" s="990"/>
      <c r="R33" s="991"/>
      <c r="S33" s="997"/>
      <c r="T33" s="998"/>
      <c r="U33" s="996"/>
      <c r="V33" s="993"/>
      <c r="W33" s="992"/>
      <c r="X33" s="999"/>
      <c r="Y33" s="996"/>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3" priority="6" operator="greaterThan">
      <formula>$C$2</formula>
    </cfRule>
  </conditionalFormatting>
  <conditionalFormatting sqref="E5:E18">
    <cfRule type="cellIs" dxfId="2" priority="2" operator="greaterThan">
      <formula>$C$2</formula>
    </cfRule>
  </conditionalFormatting>
  <conditionalFormatting sqref="E23:E26">
    <cfRule type="cellIs" dxfId="1" priority="4" operator="greaterThan">
      <formula>$C$2</formula>
    </cfRule>
  </conditionalFormatting>
  <conditionalFormatting sqref="E28:E31">
    <cfRule type="cellIs" dxfId="0"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98DC-7A24-0C41-86E2-5A002904B9A8}">
  <dimension ref="A1:J102"/>
  <sheetViews>
    <sheetView topLeftCell="A5" workbookViewId="0">
      <selection activeCell="O23" sqref="O23"/>
    </sheetView>
  </sheetViews>
  <sheetFormatPr baseColWidth="10" defaultRowHeight="16"/>
  <cols>
    <col min="1" max="5" width="34.6640625" customWidth="1"/>
    <col min="6" max="6" width="26.33203125" customWidth="1"/>
    <col min="7" max="10" width="34.6640625" customWidth="1"/>
  </cols>
  <sheetData>
    <row r="1" spans="1:10" s="1046" customFormat="1" ht="25" thickBot="1">
      <c r="A1" s="1046" t="s">
        <v>1322</v>
      </c>
      <c r="F1" s="1046" t="s">
        <v>1307</v>
      </c>
    </row>
    <row r="2" spans="1:10" ht="17" thickTop="1"/>
    <row r="3" spans="1:10" ht="18">
      <c r="A3" s="1196" t="s">
        <v>1195</v>
      </c>
      <c r="B3" s="1194" t="s">
        <v>1984</v>
      </c>
      <c r="C3" s="1036" t="s">
        <v>1985</v>
      </c>
      <c r="D3" s="1190" t="s">
        <v>1987</v>
      </c>
      <c r="E3" s="1192" t="s">
        <v>1988</v>
      </c>
      <c r="F3" s="1196" t="s">
        <v>1195</v>
      </c>
      <c r="G3" s="1194" t="s">
        <v>1984</v>
      </c>
      <c r="H3" s="1036" t="s">
        <v>1991</v>
      </c>
      <c r="I3" s="1190" t="s">
        <v>1992</v>
      </c>
      <c r="J3" s="1192" t="s">
        <v>1993</v>
      </c>
    </row>
    <row r="4" spans="1:10" ht="18">
      <c r="A4" s="1197"/>
      <c r="B4" s="1195"/>
      <c r="C4" s="1037" t="s">
        <v>1986</v>
      </c>
      <c r="D4" s="1191"/>
      <c r="E4" s="1193"/>
      <c r="F4" s="1197"/>
      <c r="G4" s="1195"/>
      <c r="H4" s="1037" t="s">
        <v>1986</v>
      </c>
      <c r="I4" s="1191"/>
      <c r="J4" s="1193"/>
    </row>
    <row r="5" spans="1:10" ht="21">
      <c r="A5" s="1038" t="s">
        <v>1989</v>
      </c>
      <c r="B5" s="1039" t="s">
        <v>1990</v>
      </c>
      <c r="C5" s="1040">
        <v>0.22</v>
      </c>
      <c r="D5" s="1041">
        <v>21851</v>
      </c>
      <c r="E5" s="1042">
        <v>17155</v>
      </c>
      <c r="F5" s="1038" t="s">
        <v>1989</v>
      </c>
      <c r="G5" s="1039" t="s">
        <v>1990</v>
      </c>
      <c r="H5" s="1040">
        <v>8.15</v>
      </c>
      <c r="I5" s="1040">
        <v>533</v>
      </c>
      <c r="J5" s="1044">
        <v>394</v>
      </c>
    </row>
    <row r="6" spans="1:10" ht="21">
      <c r="A6" s="1048" t="str">
        <f>ClaimInfo!$I2</f>
        <v/>
      </c>
      <c r="B6" s="1049"/>
      <c r="C6" s="1050"/>
      <c r="D6" s="1051"/>
      <c r="E6" s="1052"/>
      <c r="F6" s="1048"/>
      <c r="G6" s="1049"/>
      <c r="H6" s="1050"/>
      <c r="I6" s="1051"/>
      <c r="J6" s="1052"/>
    </row>
    <row r="7" spans="1:10" ht="21">
      <c r="A7" s="1053"/>
      <c r="B7" s="1054"/>
      <c r="C7" s="1055"/>
      <c r="D7" s="1056"/>
      <c r="E7" s="1057"/>
      <c r="F7" s="1053"/>
      <c r="G7" s="1054"/>
      <c r="H7" s="1055"/>
      <c r="I7" s="1056"/>
      <c r="J7" s="1057"/>
    </row>
    <row r="8" spans="1:10" ht="21">
      <c r="A8" s="1048"/>
      <c r="B8" s="1049"/>
      <c r="C8" s="1050"/>
      <c r="D8" s="1051"/>
      <c r="E8" s="1052"/>
      <c r="F8" s="1048"/>
      <c r="G8" s="1049"/>
      <c r="H8" s="1050"/>
      <c r="I8" s="1051"/>
      <c r="J8" s="1052"/>
    </row>
    <row r="9" spans="1:10" ht="21">
      <c r="A9" s="1053"/>
      <c r="B9" s="1054"/>
      <c r="C9" s="1055"/>
      <c r="D9" s="1056"/>
      <c r="E9" s="1057"/>
      <c r="F9" s="1053"/>
      <c r="G9" s="1054"/>
      <c r="H9" s="1055"/>
      <c r="I9" s="1056"/>
      <c r="J9" s="1057"/>
    </row>
    <row r="10" spans="1:10" ht="21">
      <c r="A10" s="1048"/>
      <c r="B10" s="1049"/>
      <c r="C10" s="1050"/>
      <c r="D10" s="1051"/>
      <c r="E10" s="1052"/>
      <c r="F10" s="1048"/>
      <c r="G10" s="1049"/>
      <c r="H10" s="1050"/>
      <c r="I10" s="1051"/>
      <c r="J10" s="1052"/>
    </row>
    <row r="11" spans="1:10" ht="21">
      <c r="A11" s="1053"/>
      <c r="B11" s="1054"/>
      <c r="C11" s="1055"/>
      <c r="D11" s="1056"/>
      <c r="E11" s="1057"/>
      <c r="F11" s="1053"/>
      <c r="G11" s="1054"/>
      <c r="H11" s="1055"/>
      <c r="I11" s="1056"/>
      <c r="J11" s="1057"/>
    </row>
    <row r="12" spans="1:10" ht="21">
      <c r="A12" s="1048"/>
      <c r="B12" s="1049"/>
      <c r="C12" s="1050"/>
      <c r="D12" s="1051"/>
      <c r="E12" s="1052"/>
      <c r="F12" s="1048"/>
      <c r="G12" s="1049"/>
      <c r="H12" s="1050"/>
      <c r="I12" s="1051"/>
      <c r="J12" s="1052"/>
    </row>
    <row r="13" spans="1:10" ht="21">
      <c r="A13" s="1053"/>
      <c r="B13" s="1054"/>
      <c r="C13" s="1055"/>
      <c r="D13" s="1056"/>
      <c r="E13" s="1057"/>
      <c r="F13" s="1053"/>
      <c r="G13" s="1054"/>
      <c r="H13" s="1055"/>
      <c r="I13" s="1056"/>
      <c r="J13" s="1057"/>
    </row>
    <row r="14" spans="1:10" ht="21">
      <c r="A14" s="1048"/>
      <c r="B14" s="1049"/>
      <c r="C14" s="1050"/>
      <c r="D14" s="1051"/>
      <c r="E14" s="1052"/>
      <c r="F14" s="1048"/>
      <c r="G14" s="1049"/>
      <c r="H14" s="1050"/>
      <c r="I14" s="1051"/>
      <c r="J14" s="1052"/>
    </row>
    <row r="15" spans="1:10" ht="21">
      <c r="A15" s="1053"/>
      <c r="B15" s="1054"/>
      <c r="C15" s="1055"/>
      <c r="D15" s="1056"/>
      <c r="E15" s="1057"/>
      <c r="F15" s="1053"/>
      <c r="G15" s="1054"/>
      <c r="H15" s="1055"/>
      <c r="I15" s="1056"/>
      <c r="J15" s="1057"/>
    </row>
    <row r="16" spans="1:10" ht="21">
      <c r="A16" s="1048"/>
      <c r="B16" s="1049"/>
      <c r="C16" s="1050"/>
      <c r="D16" s="1051"/>
      <c r="E16" s="1052"/>
      <c r="F16" s="1048"/>
      <c r="G16" s="1049"/>
      <c r="H16" s="1050"/>
      <c r="I16" s="1051"/>
      <c r="J16" s="1052"/>
    </row>
    <row r="17" spans="1:10" ht="21">
      <c r="A17" s="1053"/>
      <c r="B17" s="1054"/>
      <c r="C17" s="1055"/>
      <c r="D17" s="1056"/>
      <c r="E17" s="1057"/>
      <c r="F17" s="1053"/>
      <c r="G17" s="1054"/>
      <c r="H17" s="1055"/>
      <c r="I17" s="1056"/>
      <c r="J17" s="1057"/>
    </row>
    <row r="18" spans="1:10" ht="21">
      <c r="A18" s="1048"/>
      <c r="B18" s="1049"/>
      <c r="C18" s="1050"/>
      <c r="D18" s="1051"/>
      <c r="E18" s="1052"/>
      <c r="F18" s="1048"/>
      <c r="G18" s="1049"/>
      <c r="H18" s="1050"/>
      <c r="I18" s="1051"/>
      <c r="J18" s="1052"/>
    </row>
    <row r="19" spans="1:10" ht="21">
      <c r="A19" s="1053"/>
      <c r="B19" s="1054"/>
      <c r="C19" s="1055"/>
      <c r="D19" s="1056"/>
      <c r="E19" s="1057"/>
      <c r="F19" s="1053"/>
      <c r="G19" s="1054"/>
      <c r="H19" s="1055"/>
      <c r="I19" s="1056"/>
      <c r="J19" s="1057"/>
    </row>
    <row r="20" spans="1:10" ht="21">
      <c r="A20" s="1048"/>
      <c r="B20" s="1049"/>
      <c r="C20" s="1050"/>
      <c r="D20" s="1051"/>
      <c r="E20" s="1052"/>
      <c r="F20" s="1048"/>
      <c r="G20" s="1049"/>
      <c r="H20" s="1050"/>
      <c r="I20" s="1051"/>
      <c r="J20" s="1052"/>
    </row>
    <row r="21" spans="1:10" ht="21">
      <c r="A21" s="1053"/>
      <c r="B21" s="1054"/>
      <c r="C21" s="1055"/>
      <c r="D21" s="1056"/>
      <c r="E21" s="1057"/>
      <c r="F21" s="1053"/>
      <c r="G21" s="1054"/>
      <c r="H21" s="1055"/>
      <c r="I21" s="1056"/>
      <c r="J21" s="1057"/>
    </row>
    <row r="22" spans="1:10" ht="21">
      <c r="A22" s="1048"/>
      <c r="B22" s="1049"/>
      <c r="C22" s="1050"/>
      <c r="D22" s="1051"/>
      <c r="E22" s="1052"/>
      <c r="F22" s="1048"/>
      <c r="G22" s="1049"/>
      <c r="H22" s="1050"/>
      <c r="I22" s="1051"/>
      <c r="J22" s="1052"/>
    </row>
    <row r="23" spans="1:10" ht="21">
      <c r="A23" s="1053"/>
      <c r="B23" s="1054"/>
      <c r="C23" s="1055"/>
      <c r="D23" s="1056"/>
      <c r="E23" s="1057"/>
      <c r="F23" s="1053"/>
      <c r="G23" s="1054"/>
      <c r="H23" s="1055"/>
      <c r="I23" s="1056"/>
      <c r="J23" s="1057"/>
    </row>
    <row r="24" spans="1:10" ht="21">
      <c r="A24" s="1048"/>
      <c r="B24" s="1049"/>
      <c r="C24" s="1050"/>
      <c r="D24" s="1051"/>
      <c r="E24" s="1052"/>
      <c r="F24" s="1048"/>
      <c r="G24" s="1049"/>
      <c r="H24" s="1050"/>
      <c r="I24" s="1051"/>
      <c r="J24" s="1052"/>
    </row>
    <row r="25" spans="1:10" ht="21">
      <c r="A25" s="1058"/>
      <c r="B25" s="1059"/>
      <c r="C25" s="1060"/>
      <c r="D25" s="1061"/>
      <c r="E25" s="1062"/>
      <c r="F25" s="1058"/>
      <c r="G25" s="1059"/>
      <c r="H25" s="1060"/>
      <c r="I25" s="1061"/>
      <c r="J25" s="1062"/>
    </row>
    <row r="26" spans="1:10" ht="21">
      <c r="A26" s="1063" t="s">
        <v>18</v>
      </c>
      <c r="B26" s="1064"/>
      <c r="C26" s="1065"/>
      <c r="D26" s="1066"/>
      <c r="E26" s="1067"/>
      <c r="F26" s="1063" t="s">
        <v>18</v>
      </c>
      <c r="G26" s="1064"/>
      <c r="H26" s="1065"/>
      <c r="I26" s="1066"/>
      <c r="J26" s="1067"/>
    </row>
    <row r="27" spans="1:10" ht="17" customHeight="1">
      <c r="A27" t="s">
        <v>2003</v>
      </c>
    </row>
    <row r="29" spans="1:10" ht="18">
      <c r="A29" s="1043" t="s">
        <v>2004</v>
      </c>
      <c r="B29" s="1047"/>
    </row>
    <row r="30" spans="1:10" ht="18">
      <c r="A30" s="1043" t="s">
        <v>2005</v>
      </c>
      <c r="B30" s="1108"/>
    </row>
    <row r="37" spans="1:7" s="1045" customFormat="1" ht="25" thickBot="1">
      <c r="A37" s="1046" t="s">
        <v>2000</v>
      </c>
    </row>
    <row r="38" spans="1:7" ht="17" thickTop="1"/>
    <row r="41" spans="1:7" ht="21">
      <c r="A41" s="1068"/>
      <c r="B41" s="1187" t="str">
        <f>_xlfn.CONCAT(RIGHT(ClaimInfo!C6,4),"/",RIGHT(ClaimInfo!C7,2))</f>
        <v>/</v>
      </c>
      <c r="C41" s="1188"/>
      <c r="D41" s="1189"/>
      <c r="E41" s="1187" t="str">
        <f>_xlfn.CONCAT(RIGHT(ClaimInfo!C11,4),"/",RIGHT(ClaimInfo!C12,2))</f>
        <v>/</v>
      </c>
      <c r="F41" s="1188"/>
      <c r="G41" s="1189"/>
    </row>
    <row r="42" spans="1:7" ht="22">
      <c r="A42" s="1068"/>
      <c r="B42" s="1069" t="s">
        <v>1258</v>
      </c>
      <c r="C42" s="1070" t="s">
        <v>1282</v>
      </c>
      <c r="D42" s="1071" t="s">
        <v>1283</v>
      </c>
      <c r="E42" s="1069" t="s">
        <v>1258</v>
      </c>
      <c r="F42" s="1070" t="s">
        <v>1282</v>
      </c>
      <c r="G42" s="1071" t="s">
        <v>1283</v>
      </c>
    </row>
    <row r="43" spans="1:7" ht="22">
      <c r="A43" s="1072" t="s">
        <v>2006</v>
      </c>
      <c r="B43" s="1073"/>
      <c r="C43" s="1074"/>
      <c r="D43" s="1075"/>
      <c r="E43" s="1076"/>
      <c r="F43" s="1077"/>
      <c r="G43" s="1078"/>
    </row>
    <row r="44" spans="1:7" ht="22">
      <c r="A44" s="1079" t="s">
        <v>2007</v>
      </c>
      <c r="B44" s="1080"/>
      <c r="C44" s="1081"/>
      <c r="D44" s="1082"/>
      <c r="E44" s="1080"/>
      <c r="F44" s="1081"/>
      <c r="G44" s="1082"/>
    </row>
    <row r="45" spans="1:7" ht="22">
      <c r="A45" s="1083" t="s">
        <v>1996</v>
      </c>
      <c r="B45" s="1084"/>
      <c r="C45" s="1085"/>
      <c r="D45" s="1086"/>
      <c r="E45" s="1084"/>
      <c r="F45" s="1085"/>
      <c r="G45" s="1086"/>
    </row>
    <row r="46" spans="1:7" ht="22">
      <c r="A46" s="1083" t="s">
        <v>1997</v>
      </c>
      <c r="B46" s="1084"/>
      <c r="C46" s="1085"/>
      <c r="D46" s="1086"/>
      <c r="E46" s="1084"/>
      <c r="F46" s="1085"/>
      <c r="G46" s="1086"/>
    </row>
    <row r="47" spans="1:7" ht="22">
      <c r="A47" s="1083" t="s">
        <v>1998</v>
      </c>
      <c r="B47" s="1084"/>
      <c r="C47" s="1085"/>
      <c r="D47" s="1086"/>
      <c r="E47" s="1084"/>
      <c r="F47" s="1085"/>
      <c r="G47" s="1086"/>
    </row>
    <row r="48" spans="1:7" ht="22">
      <c r="A48" s="1083" t="s">
        <v>1999</v>
      </c>
      <c r="B48" s="1084"/>
      <c r="C48" s="1085"/>
      <c r="D48" s="1086"/>
      <c r="E48" s="1084"/>
      <c r="F48" s="1085"/>
      <c r="G48" s="1086"/>
    </row>
    <row r="49" spans="1:7" ht="22">
      <c r="A49" s="1083" t="s">
        <v>2001</v>
      </c>
      <c r="B49" s="1084"/>
      <c r="C49" s="1085"/>
      <c r="D49" s="1086"/>
      <c r="E49" s="1084"/>
      <c r="F49" s="1085"/>
      <c r="G49" s="1086"/>
    </row>
    <row r="50" spans="1:7" ht="22">
      <c r="A50" s="1087" t="s">
        <v>2002</v>
      </c>
      <c r="B50" s="1088"/>
      <c r="C50" s="1089"/>
      <c r="D50" s="1090"/>
      <c r="E50" s="1088"/>
      <c r="F50" s="1089"/>
      <c r="G50" s="1090"/>
    </row>
    <row r="51" spans="1:7" ht="21">
      <c r="A51" s="1091"/>
      <c r="B51" s="1091"/>
      <c r="C51" s="1091"/>
      <c r="D51" s="1091"/>
      <c r="E51" s="1091"/>
      <c r="F51" s="1091"/>
      <c r="G51" s="1091"/>
    </row>
    <row r="52" spans="1:7" ht="21">
      <c r="A52" s="1091"/>
      <c r="B52" s="1091"/>
      <c r="C52" s="1091"/>
      <c r="D52" s="1091"/>
      <c r="E52" s="1091"/>
      <c r="F52" s="1091"/>
      <c r="G52" s="1091"/>
    </row>
    <row r="53" spans="1:7" ht="21">
      <c r="A53" s="1068"/>
      <c r="B53" s="1187" t="str">
        <f>_xlfn.CONCAT(RIGHT(ClaimInfo!C6,4),"/",RIGHT(ClaimInfo!C7,2))</f>
        <v>/</v>
      </c>
      <c r="C53" s="1188"/>
      <c r="D53" s="1189"/>
      <c r="E53" s="1187" t="str">
        <f>_xlfn.CONCAT(RIGHT(ClaimInfo!C11,4),"/",RIGHT(ClaimInfo!C12,2))</f>
        <v>/</v>
      </c>
      <c r="F53" s="1188"/>
      <c r="G53" s="1189"/>
    </row>
    <row r="54" spans="1:7" ht="22">
      <c r="A54" s="1068"/>
      <c r="B54" s="1069" t="s">
        <v>1258</v>
      </c>
      <c r="C54" s="1070" t="s">
        <v>1282</v>
      </c>
      <c r="D54" s="1071" t="s">
        <v>1283</v>
      </c>
      <c r="E54" s="1069" t="s">
        <v>1258</v>
      </c>
      <c r="F54" s="1070" t="s">
        <v>1282</v>
      </c>
      <c r="G54" s="1071" t="s">
        <v>1283</v>
      </c>
    </row>
    <row r="55" spans="1:7" ht="22">
      <c r="A55" s="1072" t="s">
        <v>1994</v>
      </c>
      <c r="B55" s="1092" t="str">
        <f>IF(B43&lt;&gt;"",B43/SUM($B43:$D43), "")</f>
        <v/>
      </c>
      <c r="C55" s="1093" t="str">
        <f t="shared" ref="C55:D55" si="0">IF(C43&lt;&gt;"",C43/SUM($B43:$D43), "")</f>
        <v/>
      </c>
      <c r="D55" s="1094" t="str">
        <f t="shared" si="0"/>
        <v/>
      </c>
      <c r="E55" s="1095" t="str">
        <f>IF(E43&lt;&gt;"",E43/SUM($E43:$G43), "")</f>
        <v/>
      </c>
      <c r="F55" s="1096" t="str">
        <f t="shared" ref="F55:G55" si="1">IF(F43&lt;&gt;"",F43/SUM($E43:$G43), "")</f>
        <v/>
      </c>
      <c r="G55" s="1097" t="str">
        <f t="shared" si="1"/>
        <v/>
      </c>
    </row>
    <row r="56" spans="1:7" ht="21">
      <c r="A56" s="1107" t="s">
        <v>1995</v>
      </c>
      <c r="B56" s="1098"/>
      <c r="C56" s="1099"/>
      <c r="D56" s="1100"/>
      <c r="E56" s="1098"/>
      <c r="F56" s="1099"/>
      <c r="G56" s="1100"/>
    </row>
    <row r="57" spans="1:7" ht="22">
      <c r="A57" s="1083" t="s">
        <v>1996</v>
      </c>
      <c r="B57" s="1101" t="str">
        <f t="shared" ref="B57:D57" si="2">IF(B45&lt;&gt;"",B45/SUM($B45:$D45), "")</f>
        <v/>
      </c>
      <c r="C57" s="1102" t="str">
        <f t="shared" si="2"/>
        <v/>
      </c>
      <c r="D57" s="1103" t="str">
        <f t="shared" si="2"/>
        <v/>
      </c>
      <c r="E57" s="1101" t="str">
        <f t="shared" ref="E57:G57" si="3">IF(E45&lt;&gt;"",E45/SUM($E45:$G45), "")</f>
        <v/>
      </c>
      <c r="F57" s="1102" t="str">
        <f t="shared" si="3"/>
        <v/>
      </c>
      <c r="G57" s="1103" t="str">
        <f t="shared" si="3"/>
        <v/>
      </c>
    </row>
    <row r="58" spans="1:7" ht="22">
      <c r="A58" s="1083" t="s">
        <v>1997</v>
      </c>
      <c r="B58" s="1101" t="str">
        <f t="shared" ref="B58:D58" si="4">IF(B46&lt;&gt;"",B46/SUM($B46:$D46), "")</f>
        <v/>
      </c>
      <c r="C58" s="1102" t="str">
        <f t="shared" si="4"/>
        <v/>
      </c>
      <c r="D58" s="1103" t="str">
        <f t="shared" si="4"/>
        <v/>
      </c>
      <c r="E58" s="1101" t="str">
        <f t="shared" ref="E58:G58" si="5">IF(E46&lt;&gt;"",E46/SUM($E46:$G46), "")</f>
        <v/>
      </c>
      <c r="F58" s="1102" t="str">
        <f t="shared" si="5"/>
        <v/>
      </c>
      <c r="G58" s="1103" t="str">
        <f t="shared" si="5"/>
        <v/>
      </c>
    </row>
    <row r="59" spans="1:7" ht="22">
      <c r="A59" s="1083" t="s">
        <v>1998</v>
      </c>
      <c r="B59" s="1101" t="str">
        <f t="shared" ref="B59:D59" si="6">IF(B47&lt;&gt;"",B47/SUM($B47:$D47), "")</f>
        <v/>
      </c>
      <c r="C59" s="1102" t="str">
        <f t="shared" si="6"/>
        <v/>
      </c>
      <c r="D59" s="1103" t="str">
        <f t="shared" si="6"/>
        <v/>
      </c>
      <c r="E59" s="1101" t="str">
        <f t="shared" ref="E59:G59" si="7">IF(E47&lt;&gt;"",E47/SUM($E47:$G47), "")</f>
        <v/>
      </c>
      <c r="F59" s="1102" t="str">
        <f t="shared" si="7"/>
        <v/>
      </c>
      <c r="G59" s="1103" t="str">
        <f t="shared" si="7"/>
        <v/>
      </c>
    </row>
    <row r="60" spans="1:7" ht="22">
      <c r="A60" s="1083" t="s">
        <v>1999</v>
      </c>
      <c r="B60" s="1101" t="str">
        <f t="shared" ref="B60:D60" si="8">IF(B48&lt;&gt;"",B48/SUM($B48:$D48), "")</f>
        <v/>
      </c>
      <c r="C60" s="1102" t="str">
        <f t="shared" si="8"/>
        <v/>
      </c>
      <c r="D60" s="1103" t="str">
        <f t="shared" si="8"/>
        <v/>
      </c>
      <c r="E60" s="1101" t="str">
        <f t="shared" ref="E60:G60" si="9">IF(E48&lt;&gt;"",E48/SUM($E48:$G48), "")</f>
        <v/>
      </c>
      <c r="F60" s="1102" t="str">
        <f t="shared" si="9"/>
        <v/>
      </c>
      <c r="G60" s="1103" t="str">
        <f t="shared" si="9"/>
        <v/>
      </c>
    </row>
    <row r="61" spans="1:7" ht="22">
      <c r="A61" s="1083" t="s">
        <v>2001</v>
      </c>
      <c r="B61" s="1101" t="str">
        <f t="shared" ref="B61:D61" si="10">IF(B49&lt;&gt;"",B49/SUM($B49:$D49), "")</f>
        <v/>
      </c>
      <c r="C61" s="1102" t="str">
        <f t="shared" si="10"/>
        <v/>
      </c>
      <c r="D61" s="1103" t="str">
        <f t="shared" si="10"/>
        <v/>
      </c>
      <c r="E61" s="1101" t="str">
        <f t="shared" ref="E61:G61" si="11">IF(E49&lt;&gt;"",E49/SUM($E49:$G49), "")</f>
        <v/>
      </c>
      <c r="F61" s="1102" t="str">
        <f t="shared" si="11"/>
        <v/>
      </c>
      <c r="G61" s="1103" t="str">
        <f t="shared" si="11"/>
        <v/>
      </c>
    </row>
    <row r="62" spans="1:7" ht="22">
      <c r="A62" s="1087" t="s">
        <v>2002</v>
      </c>
      <c r="B62" s="1104" t="str">
        <f t="shared" ref="B62:D62" si="12">IF(B50&lt;&gt;"",B50/SUM($B50:$D50), "")</f>
        <v/>
      </c>
      <c r="C62" s="1105" t="str">
        <f t="shared" si="12"/>
        <v/>
      </c>
      <c r="D62" s="1106" t="str">
        <f t="shared" si="12"/>
        <v/>
      </c>
      <c r="E62" s="1104" t="str">
        <f t="shared" ref="E62:G62" si="13">IF(E50&lt;&gt;"",E50/SUM($E50:$G50), "")</f>
        <v/>
      </c>
      <c r="F62" s="1105" t="str">
        <f t="shared" si="13"/>
        <v/>
      </c>
      <c r="G62" s="1106" t="str">
        <f t="shared" si="13"/>
        <v/>
      </c>
    </row>
    <row r="67" spans="1:7" s="1045" customFormat="1" ht="25" thickBot="1">
      <c r="A67" s="1046" t="s">
        <v>2013</v>
      </c>
    </row>
    <row r="68" spans="1:7" ht="17" thickTop="1"/>
    <row r="71" spans="1:7" ht="22">
      <c r="A71" s="1068" t="s">
        <v>1303</v>
      </c>
      <c r="B71" s="1069" t="s">
        <v>2008</v>
      </c>
      <c r="C71" s="1109" t="s">
        <v>2009</v>
      </c>
      <c r="D71" s="1109" t="s">
        <v>150</v>
      </c>
      <c r="E71" s="1109" t="s">
        <v>2010</v>
      </c>
      <c r="F71" s="1109" t="s">
        <v>2011</v>
      </c>
      <c r="G71" s="1110" t="s">
        <v>2012</v>
      </c>
    </row>
    <row r="72" spans="1:7" ht="22" customHeight="1">
      <c r="A72" s="1111"/>
      <c r="B72" s="1112"/>
      <c r="C72" s="1123"/>
      <c r="D72" s="1123"/>
      <c r="E72" s="1127"/>
      <c r="F72" s="1123"/>
      <c r="G72" s="1113"/>
    </row>
    <row r="73" spans="1:7" ht="22" customHeight="1">
      <c r="A73" s="1120"/>
      <c r="B73" s="1121"/>
      <c r="C73" s="1124"/>
      <c r="D73" s="1124"/>
      <c r="E73" s="1128"/>
      <c r="F73" s="1124"/>
      <c r="G73" s="1122"/>
    </row>
    <row r="74" spans="1:7" ht="22" customHeight="1">
      <c r="A74" s="1120"/>
      <c r="B74" s="1121"/>
      <c r="C74" s="1124"/>
      <c r="D74" s="1124"/>
      <c r="E74" s="1128"/>
      <c r="F74" s="1124"/>
      <c r="G74" s="1122"/>
    </row>
    <row r="75" spans="1:7" ht="22" customHeight="1">
      <c r="A75" s="1120"/>
      <c r="B75" s="1121"/>
      <c r="C75" s="1124"/>
      <c r="D75" s="1124"/>
      <c r="E75" s="1128"/>
      <c r="F75" s="1124"/>
      <c r="G75" s="1122"/>
    </row>
    <row r="76" spans="1:7" ht="22" customHeight="1">
      <c r="A76" s="1120"/>
      <c r="B76" s="1121"/>
      <c r="C76" s="1124"/>
      <c r="D76" s="1124"/>
      <c r="E76" s="1128"/>
      <c r="F76" s="1124"/>
      <c r="G76" s="1122"/>
    </row>
    <row r="77" spans="1:7" ht="22" customHeight="1">
      <c r="A77" s="1120"/>
      <c r="B77" s="1121"/>
      <c r="C77" s="1124"/>
      <c r="D77" s="1124"/>
      <c r="E77" s="1128"/>
      <c r="F77" s="1124"/>
      <c r="G77" s="1122"/>
    </row>
    <row r="78" spans="1:7" ht="22" customHeight="1">
      <c r="A78" s="1120"/>
      <c r="B78" s="1121"/>
      <c r="C78" s="1124"/>
      <c r="D78" s="1124"/>
      <c r="E78" s="1128"/>
      <c r="F78" s="1124"/>
      <c r="G78" s="1122"/>
    </row>
    <row r="79" spans="1:7" ht="22" customHeight="1">
      <c r="A79" s="1120"/>
      <c r="B79" s="1121"/>
      <c r="C79" s="1124"/>
      <c r="D79" s="1124"/>
      <c r="E79" s="1128"/>
      <c r="F79" s="1124"/>
      <c r="G79" s="1122"/>
    </row>
    <row r="80" spans="1:7" ht="22" customHeight="1">
      <c r="A80" s="1120"/>
      <c r="B80" s="1121"/>
      <c r="C80" s="1124"/>
      <c r="D80" s="1124"/>
      <c r="E80" s="1128"/>
      <c r="F80" s="1124"/>
      <c r="G80" s="1122"/>
    </row>
    <row r="81" spans="1:7" ht="22" customHeight="1">
      <c r="A81" s="1120"/>
      <c r="B81" s="1121"/>
      <c r="C81" s="1124"/>
      <c r="D81" s="1124"/>
      <c r="E81" s="1128"/>
      <c r="F81" s="1124"/>
      <c r="G81" s="1122"/>
    </row>
    <row r="82" spans="1:7" ht="22" customHeight="1">
      <c r="A82" s="1120"/>
      <c r="B82" s="1121"/>
      <c r="C82" s="1124"/>
      <c r="D82" s="1124"/>
      <c r="E82" s="1128"/>
      <c r="F82" s="1124"/>
      <c r="G82" s="1122"/>
    </row>
    <row r="83" spans="1:7" ht="22" customHeight="1">
      <c r="A83" s="1120"/>
      <c r="B83" s="1121"/>
      <c r="C83" s="1124"/>
      <c r="D83" s="1124"/>
      <c r="E83" s="1128"/>
      <c r="F83" s="1124"/>
      <c r="G83" s="1122"/>
    </row>
    <row r="84" spans="1:7" ht="22" customHeight="1">
      <c r="A84" s="1120"/>
      <c r="B84" s="1121"/>
      <c r="C84" s="1124"/>
      <c r="D84" s="1124"/>
      <c r="E84" s="1128"/>
      <c r="F84" s="1124"/>
      <c r="G84" s="1122"/>
    </row>
    <row r="85" spans="1:7" ht="22" customHeight="1">
      <c r="A85" s="1120"/>
      <c r="B85" s="1121"/>
      <c r="C85" s="1124"/>
      <c r="D85" s="1124"/>
      <c r="E85" s="1128"/>
      <c r="F85" s="1124"/>
      <c r="G85" s="1122"/>
    </row>
    <row r="86" spans="1:7" ht="22" customHeight="1">
      <c r="A86" s="1120"/>
      <c r="B86" s="1121"/>
      <c r="C86" s="1124"/>
      <c r="D86" s="1124"/>
      <c r="E86" s="1128"/>
      <c r="F86" s="1124"/>
      <c r="G86" s="1122"/>
    </row>
    <row r="87" spans="1:7" ht="22" customHeight="1">
      <c r="A87" s="1120"/>
      <c r="B87" s="1121"/>
      <c r="C87" s="1124"/>
      <c r="D87" s="1124"/>
      <c r="E87" s="1128"/>
      <c r="F87" s="1124"/>
      <c r="G87" s="1122"/>
    </row>
    <row r="88" spans="1:7" ht="22" customHeight="1">
      <c r="A88" s="1120"/>
      <c r="B88" s="1121"/>
      <c r="C88" s="1124"/>
      <c r="D88" s="1124"/>
      <c r="E88" s="1128"/>
      <c r="F88" s="1124"/>
      <c r="G88" s="1122"/>
    </row>
    <row r="89" spans="1:7" ht="22" customHeight="1">
      <c r="A89" s="1120"/>
      <c r="B89" s="1121"/>
      <c r="C89" s="1124"/>
      <c r="D89" s="1124"/>
      <c r="E89" s="1128"/>
      <c r="F89" s="1124"/>
      <c r="G89" s="1122"/>
    </row>
    <row r="90" spans="1:7" ht="22" customHeight="1">
      <c r="A90" s="1120"/>
      <c r="B90" s="1121"/>
      <c r="C90" s="1124"/>
      <c r="D90" s="1124"/>
      <c r="E90" s="1128"/>
      <c r="F90" s="1124"/>
      <c r="G90" s="1122"/>
    </row>
    <row r="91" spans="1:7" ht="22" customHeight="1">
      <c r="A91" s="1120"/>
      <c r="B91" s="1121"/>
      <c r="C91" s="1124"/>
      <c r="D91" s="1124"/>
      <c r="E91" s="1128"/>
      <c r="F91" s="1124"/>
      <c r="G91" s="1122"/>
    </row>
    <row r="92" spans="1:7" ht="22" customHeight="1">
      <c r="A92" s="1120"/>
      <c r="B92" s="1121"/>
      <c r="C92" s="1124"/>
      <c r="D92" s="1124"/>
      <c r="E92" s="1128"/>
      <c r="F92" s="1124"/>
      <c r="G92" s="1122"/>
    </row>
    <row r="93" spans="1:7" ht="22" customHeight="1">
      <c r="A93" s="1120"/>
      <c r="B93" s="1121"/>
      <c r="C93" s="1124"/>
      <c r="D93" s="1124"/>
      <c r="E93" s="1128"/>
      <c r="F93" s="1124"/>
      <c r="G93" s="1122"/>
    </row>
    <row r="94" spans="1:7" ht="22" customHeight="1">
      <c r="A94" s="1120"/>
      <c r="B94" s="1121"/>
      <c r="C94" s="1124"/>
      <c r="D94" s="1124"/>
      <c r="E94" s="1128"/>
      <c r="F94" s="1124"/>
      <c r="G94" s="1122"/>
    </row>
    <row r="95" spans="1:7" ht="22" customHeight="1">
      <c r="A95" s="1120"/>
      <c r="B95" s="1121"/>
      <c r="C95" s="1124"/>
      <c r="D95" s="1124"/>
      <c r="E95" s="1128"/>
      <c r="F95" s="1124"/>
      <c r="G95" s="1122"/>
    </row>
    <row r="96" spans="1:7" ht="22" customHeight="1">
      <c r="A96" s="1120"/>
      <c r="B96" s="1121"/>
      <c r="C96" s="1124"/>
      <c r="D96" s="1124"/>
      <c r="E96" s="1128"/>
      <c r="F96" s="1124"/>
      <c r="G96" s="1122"/>
    </row>
    <row r="97" spans="1:7" ht="21">
      <c r="A97" s="1114"/>
      <c r="B97" s="1115"/>
      <c r="C97" s="1125"/>
      <c r="D97" s="1125"/>
      <c r="E97" s="1129"/>
      <c r="F97" s="1125"/>
      <c r="G97" s="1116"/>
    </row>
    <row r="98" spans="1:7" ht="21">
      <c r="A98" s="1114"/>
      <c r="B98" s="1115"/>
      <c r="C98" s="1125"/>
      <c r="D98" s="1125"/>
      <c r="E98" s="1129"/>
      <c r="F98" s="1125"/>
      <c r="G98" s="1116"/>
    </row>
    <row r="99" spans="1:7" ht="21">
      <c r="A99" s="1114"/>
      <c r="B99" s="1115"/>
      <c r="C99" s="1125"/>
      <c r="D99" s="1125"/>
      <c r="E99" s="1129"/>
      <c r="F99" s="1125"/>
      <c r="G99" s="1116"/>
    </row>
    <row r="100" spans="1:7" ht="21">
      <c r="A100" s="1114"/>
      <c r="B100" s="1115"/>
      <c r="C100" s="1125"/>
      <c r="D100" s="1125"/>
      <c r="E100" s="1129"/>
      <c r="F100" s="1125"/>
      <c r="G100" s="1116"/>
    </row>
    <row r="101" spans="1:7" ht="21">
      <c r="A101" s="1114"/>
      <c r="B101" s="1115"/>
      <c r="C101" s="1125"/>
      <c r="D101" s="1125"/>
      <c r="E101" s="1129"/>
      <c r="F101" s="1125"/>
      <c r="G101" s="1116"/>
    </row>
    <row r="102" spans="1:7" ht="21">
      <c r="A102" s="1117"/>
      <c r="B102" s="1118"/>
      <c r="C102" s="1126"/>
      <c r="D102" s="1126"/>
      <c r="E102" s="1130"/>
      <c r="F102" s="1126"/>
      <c r="G102" s="1119"/>
    </row>
  </sheetData>
  <mergeCells count="12">
    <mergeCell ref="A3:A4"/>
    <mergeCell ref="B3:B4"/>
    <mergeCell ref="D3:D4"/>
    <mergeCell ref="E3:E4"/>
    <mergeCell ref="F3:F4"/>
    <mergeCell ref="B53:D53"/>
    <mergeCell ref="E53:G53"/>
    <mergeCell ref="I3:I4"/>
    <mergeCell ref="J3:J4"/>
    <mergeCell ref="B41:D41"/>
    <mergeCell ref="E41:G41"/>
    <mergeCell ref="G3:G4"/>
  </mergeCells>
  <pageMargins left="0.7" right="0.7" top="0.75" bottom="0.75" header="0.3" footer="0.3"/>
  <pageSetup paperSize="9" orientation="portrait"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P21" sqref="P21"/>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891"/>
      <c r="F1" s="891"/>
      <c r="G1" s="891"/>
      <c r="H1" s="892"/>
      <c r="I1" s="892"/>
      <c r="J1" s="893"/>
      <c r="K1" s="958">
        <f>ClaimInfo!$C$11</f>
        <v>0</v>
      </c>
      <c r="L1" s="958" t="s">
        <v>1715</v>
      </c>
      <c r="M1" s="958">
        <f>ClaimInfo!$C$12</f>
        <v>0</v>
      </c>
      <c r="N1" s="892"/>
      <c r="O1" s="892"/>
      <c r="P1" s="892"/>
      <c r="Q1" s="892"/>
      <c r="R1" s="892"/>
      <c r="S1" s="892"/>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N27" sqref="N27"/>
    </sheetView>
  </sheetViews>
  <sheetFormatPr baseColWidth="10" defaultColWidth="10.6640625" defaultRowHeight="16"/>
  <cols>
    <col min="10" max="10" width="10.83203125" style="894"/>
  </cols>
  <sheetData>
    <row r="1" spans="1:19" ht="30">
      <c r="A1" s="959" t="s">
        <v>1289</v>
      </c>
      <c r="B1" s="958">
        <f>ClaimInfo!$C$6</f>
        <v>0</v>
      </c>
      <c r="C1" s="958" t="s">
        <v>1715</v>
      </c>
      <c r="D1" s="958">
        <f>ClaimInfo!$C$7</f>
        <v>0</v>
      </c>
      <c r="E1" s="958"/>
      <c r="F1" s="958"/>
      <c r="G1" s="958"/>
      <c r="H1" s="959"/>
      <c r="I1" s="959"/>
      <c r="J1" s="960"/>
      <c r="K1" s="958">
        <f>ClaimInfo!$C$11</f>
        <v>0</v>
      </c>
      <c r="L1" s="958" t="s">
        <v>1715</v>
      </c>
      <c r="M1" s="958">
        <f>ClaimInfo!$C$12</f>
        <v>0</v>
      </c>
      <c r="N1" s="959"/>
      <c r="O1" s="959"/>
      <c r="P1" s="959"/>
      <c r="Q1" s="959"/>
      <c r="R1" s="959"/>
      <c r="S1" s="959"/>
    </row>
    <row r="2" spans="1:19" ht="45">
      <c r="A2" s="518" t="s">
        <v>1308</v>
      </c>
      <c r="B2" s="518" t="s">
        <v>1343</v>
      </c>
      <c r="C2" s="518" t="s">
        <v>1721</v>
      </c>
      <c r="D2" s="518" t="s">
        <v>1722</v>
      </c>
      <c r="E2" s="518" t="s">
        <v>1928</v>
      </c>
      <c r="F2" s="518" t="s">
        <v>1931</v>
      </c>
      <c r="G2" s="518" t="s">
        <v>1935</v>
      </c>
      <c r="H2" s="518" t="s">
        <v>1936</v>
      </c>
      <c r="I2" s="518" t="s">
        <v>1956</v>
      </c>
      <c r="J2" s="872" t="s">
        <v>1957</v>
      </c>
      <c r="K2" s="518" t="s">
        <v>1343</v>
      </c>
      <c r="L2" s="518" t="s">
        <v>1721</v>
      </c>
      <c r="M2" s="518" t="s">
        <v>1722</v>
      </c>
      <c r="N2" s="518" t="s">
        <v>1928</v>
      </c>
      <c r="O2" s="518" t="s">
        <v>1931</v>
      </c>
      <c r="P2" s="518" t="s">
        <v>1935</v>
      </c>
      <c r="Q2" s="518" t="s">
        <v>1936</v>
      </c>
      <c r="R2" s="518" t="s">
        <v>1956</v>
      </c>
      <c r="S2" s="518" t="s">
        <v>1957</v>
      </c>
    </row>
    <row r="3" spans="1:19">
      <c r="A3" s="976"/>
      <c r="B3" s="976"/>
      <c r="C3" s="976"/>
      <c r="D3" s="976"/>
      <c r="E3" s="976"/>
      <c r="F3" s="976"/>
      <c r="G3" s="976"/>
      <c r="H3" s="976"/>
      <c r="I3" s="976"/>
      <c r="J3" s="977"/>
      <c r="K3" s="976"/>
      <c r="L3" s="976"/>
      <c r="M3" s="976"/>
      <c r="N3" s="976"/>
      <c r="O3" s="976"/>
      <c r="P3" s="976"/>
      <c r="Q3" s="976"/>
      <c r="R3" s="976"/>
      <c r="S3" s="976"/>
    </row>
    <row r="4" spans="1:19">
      <c r="A4" s="976"/>
      <c r="B4" s="976"/>
      <c r="C4" s="976"/>
      <c r="D4" s="976"/>
      <c r="E4" s="976"/>
      <c r="F4" s="976"/>
      <c r="G4" s="976"/>
      <c r="H4" s="976"/>
      <c r="I4" s="976"/>
      <c r="J4" s="977"/>
      <c r="K4" s="976"/>
      <c r="L4" s="976"/>
      <c r="M4" s="976"/>
      <c r="N4" s="976"/>
      <c r="O4" s="976"/>
      <c r="P4" s="976"/>
      <c r="Q4" s="976"/>
      <c r="R4" s="976"/>
      <c r="S4" s="976"/>
    </row>
    <row r="5" spans="1:19">
      <c r="A5" s="976"/>
      <c r="B5" s="976"/>
      <c r="C5" s="976"/>
      <c r="D5" s="976"/>
      <c r="E5" s="976"/>
      <c r="F5" s="976"/>
      <c r="G5" s="976"/>
      <c r="H5" s="976"/>
      <c r="I5" s="976"/>
      <c r="J5" s="977"/>
      <c r="K5" s="976"/>
      <c r="L5" s="976"/>
      <c r="M5" s="976"/>
      <c r="N5" s="976"/>
      <c r="O5" s="976"/>
      <c r="P5" s="976"/>
      <c r="Q5" s="976"/>
      <c r="R5" s="976"/>
      <c r="S5" s="976"/>
    </row>
    <row r="6" spans="1:19">
      <c r="A6" s="976"/>
      <c r="B6" s="976"/>
      <c r="C6" s="976"/>
      <c r="D6" s="976"/>
      <c r="E6" s="976"/>
      <c r="F6" s="976"/>
      <c r="G6" s="976"/>
      <c r="H6" s="976"/>
      <c r="I6" s="976"/>
      <c r="J6" s="977"/>
      <c r="K6" s="976"/>
      <c r="L6" s="976"/>
      <c r="M6" s="976"/>
      <c r="N6" s="976"/>
      <c r="O6" s="976"/>
      <c r="P6" s="976"/>
      <c r="Q6" s="976"/>
      <c r="R6" s="976"/>
      <c r="S6" s="976"/>
    </row>
    <row r="7" spans="1:19">
      <c r="A7" s="976"/>
      <c r="B7" s="976"/>
      <c r="C7" s="976"/>
      <c r="D7" s="976"/>
      <c r="E7" s="976"/>
      <c r="F7" s="976"/>
      <c r="G7" s="976"/>
      <c r="H7" s="976"/>
      <c r="I7" s="976"/>
      <c r="J7" s="977"/>
      <c r="K7" s="976"/>
      <c r="L7" s="976"/>
      <c r="M7" s="976"/>
      <c r="N7" s="976"/>
      <c r="O7" s="976"/>
      <c r="P7" s="976"/>
      <c r="Q7" s="976"/>
      <c r="R7" s="976"/>
      <c r="S7" s="976"/>
    </row>
    <row r="8" spans="1:19">
      <c r="A8" s="976"/>
      <c r="B8" s="976"/>
      <c r="C8" s="976"/>
      <c r="D8" s="976"/>
      <c r="E8" s="976"/>
      <c r="F8" s="976"/>
      <c r="G8" s="976"/>
      <c r="H8" s="976"/>
      <c r="I8" s="976"/>
      <c r="J8" s="977"/>
      <c r="K8" s="976"/>
      <c r="L8" s="976"/>
      <c r="M8" s="976"/>
      <c r="N8" s="976"/>
      <c r="O8" s="976"/>
      <c r="P8" s="976"/>
      <c r="Q8" s="976"/>
      <c r="R8" s="976"/>
      <c r="S8" s="976"/>
    </row>
    <row r="9" spans="1:19">
      <c r="A9" s="976"/>
      <c r="B9" s="976"/>
      <c r="C9" s="976"/>
      <c r="D9" s="976"/>
      <c r="E9" s="976"/>
      <c r="F9" s="976"/>
      <c r="G9" s="976"/>
      <c r="H9" s="976"/>
      <c r="I9" s="976"/>
      <c r="J9" s="977"/>
      <c r="K9" s="976"/>
      <c r="L9" s="976"/>
      <c r="M9" s="976"/>
      <c r="N9" s="976"/>
      <c r="O9" s="976"/>
      <c r="P9" s="976"/>
      <c r="Q9" s="976"/>
      <c r="R9" s="976"/>
      <c r="S9" s="976"/>
    </row>
    <row r="10" spans="1:19">
      <c r="A10" s="976"/>
      <c r="B10" s="976"/>
      <c r="C10" s="976"/>
      <c r="D10" s="976"/>
      <c r="E10" s="976"/>
      <c r="F10" s="976"/>
      <c r="G10" s="976"/>
      <c r="H10" s="976"/>
      <c r="I10" s="976"/>
      <c r="J10" s="977"/>
      <c r="K10" s="976"/>
      <c r="L10" s="976"/>
      <c r="M10" s="976"/>
      <c r="N10" s="976"/>
      <c r="O10" s="976"/>
      <c r="P10" s="976"/>
      <c r="Q10" s="976"/>
      <c r="R10" s="976"/>
      <c r="S10" s="976"/>
    </row>
    <row r="11" spans="1:19">
      <c r="A11" s="976"/>
      <c r="B11" s="976"/>
      <c r="C11" s="976"/>
      <c r="D11" s="976"/>
      <c r="E11" s="976"/>
      <c r="F11" s="976"/>
      <c r="G11" s="976"/>
      <c r="H11" s="976"/>
      <c r="I11" s="976"/>
      <c r="J11" s="977"/>
      <c r="K11" s="976"/>
      <c r="L11" s="976"/>
      <c r="M11" s="976"/>
      <c r="N11" s="976"/>
      <c r="O11" s="976"/>
      <c r="P11" s="976"/>
      <c r="Q11" s="976"/>
      <c r="R11" s="976"/>
      <c r="S11" s="976"/>
    </row>
    <row r="12" spans="1:19">
      <c r="A12" s="976"/>
      <c r="B12" s="976"/>
      <c r="C12" s="976"/>
      <c r="D12" s="976"/>
      <c r="E12" s="976"/>
      <c r="F12" s="976"/>
      <c r="G12" s="976"/>
      <c r="H12" s="976"/>
      <c r="I12" s="976"/>
      <c r="J12" s="977"/>
      <c r="K12" s="976"/>
      <c r="L12" s="976"/>
      <c r="M12" s="976"/>
      <c r="N12" s="976"/>
      <c r="O12" s="976"/>
      <c r="P12" s="976"/>
      <c r="Q12" s="976"/>
      <c r="R12" s="976"/>
      <c r="S12" s="976"/>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3.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35</vt:i4>
      </vt:variant>
      <vt:variant>
        <vt:lpstr>Named Ranges</vt:lpstr>
      </vt:variant>
      <vt:variant>
        <vt:i4>7</vt:i4>
      </vt:variant>
    </vt:vector>
  </HeadingPairs>
  <TitlesOfParts>
    <vt:vector size="42"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P16_LR by Benefits</vt:lpstr>
      <vt:lpstr>P17_ClaimPattern</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2026-02-03T04:22:11Z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